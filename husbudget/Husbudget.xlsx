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Översikt" sheetId="1" state="visible" r:id="rId3"/>
    <sheet name="Kategorier" sheetId="2" state="visible" r:id="rId4"/>
    <sheet name="Transaktion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6" authorId="0">
      <text>
        <r>
          <rPr>
            <sz val="10"/>
            <rFont val="Arial"/>
            <family val="2"/>
          </rPr>
          <t xml:space="preserve">Exempelbelopp – byt mot era egna.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Exempelrader – radera och fyll i era egna.</t>
        </r>
      </text>
    </comment>
  </commentList>
</comments>
</file>

<file path=xl/sharedStrings.xml><?xml version="1.0" encoding="utf-8"?>
<sst xmlns="http://schemas.openxmlformats.org/spreadsheetml/2006/main" count="83" uniqueCount="59">
  <si>
    <t xml:space="preserve">🏠 Husbudget</t>
  </si>
  <si>
    <t xml:space="preserve">År:</t>
  </si>
  <si>
    <t xml:space="preserve">← byt år här. Översikten räknas automatiskt från fliken Transaktioner.</t>
  </si>
  <si>
    <t xml:space="preserve">Inkomster i år</t>
  </si>
  <si>
    <t xml:space="preserve">Utgifter i år</t>
  </si>
  <si>
    <t xml:space="preserve">Sparat i år</t>
  </si>
  <si>
    <t xml:space="preserve">Kvar (ej fördelat)</t>
  </si>
  <si>
    <t xml:space="preserve">Typ</t>
  </si>
  <si>
    <t xml:space="preserve">Kategori</t>
  </si>
  <si>
    <t xml:space="preserve">Jan</t>
  </si>
  <si>
    <t xml:space="preserve">Feb</t>
  </si>
  <si>
    <t xml:space="preserve">Mar</t>
  </si>
  <si>
    <t xml:space="preserve">Apr</t>
  </si>
  <si>
    <t xml:space="preserve">Maj</t>
  </si>
  <si>
    <t xml:space="preserve">Jun</t>
  </si>
  <si>
    <t xml:space="preserve">Jul</t>
  </si>
  <si>
    <t xml:space="preserve">Aug</t>
  </si>
  <si>
    <t xml:space="preserve">Sep</t>
  </si>
  <si>
    <t xml:space="preserve">Okt</t>
  </si>
  <si>
    <t xml:space="preserve">Nov</t>
  </si>
  <si>
    <t xml:space="preserve">Dec</t>
  </si>
  <si>
    <t xml:space="preserve">Utfall år</t>
  </si>
  <si>
    <t xml:space="preserve">Budget år</t>
  </si>
  <si>
    <t xml:space="preserve">Diff</t>
  </si>
  <si>
    <t xml:space="preserve">Förbrukat</t>
  </si>
  <si>
    <t xml:space="preserve">Inkomster</t>
  </si>
  <si>
    <t xml:space="preserve">Utgifter</t>
  </si>
  <si>
    <t xml:space="preserve">Sparande</t>
  </si>
  <si>
    <t xml:space="preserve">Kvar</t>
  </si>
  <si>
    <t xml:space="preserve">Kategorier &amp; månadsbudget</t>
  </si>
  <si>
    <t xml:space="preserve">Gula celler är inmatning – ändra namn och belopp fritt. Lägg nya rader direkt under tabellen (upp till rad 40).</t>
  </si>
  <si>
    <t xml:space="preserve">Budget / mån</t>
  </si>
  <si>
    <t xml:space="preserve">Inkomst</t>
  </si>
  <si>
    <t xml:space="preserve">Lön</t>
  </si>
  <si>
    <t xml:space="preserve">Barnbidrag</t>
  </si>
  <si>
    <t xml:space="preserve">Övrigt</t>
  </si>
  <si>
    <t xml:space="preserve">Utgift</t>
  </si>
  <si>
    <t xml:space="preserve">Boende (hyra/lån)</t>
  </si>
  <si>
    <t xml:space="preserve">El &amp; värme</t>
  </si>
  <si>
    <t xml:space="preserve">Bredband &amp; mobil</t>
  </si>
  <si>
    <t xml:space="preserve">Försäkringar</t>
  </si>
  <si>
    <t xml:space="preserve">Mat &amp; hushåll</t>
  </si>
  <si>
    <t xml:space="preserve">Transport</t>
  </si>
  <si>
    <t xml:space="preserve">Barn</t>
  </si>
  <si>
    <t xml:space="preserve">Hälsa &amp; träning</t>
  </si>
  <si>
    <t xml:space="preserve">Nöje &amp; restaurang</t>
  </si>
  <si>
    <t xml:space="preserve">Kläder</t>
  </si>
  <si>
    <t xml:space="preserve">Prenumerationer</t>
  </si>
  <si>
    <t xml:space="preserve">Buffert</t>
  </si>
  <si>
    <t xml:space="preserve">Fonder</t>
  </si>
  <si>
    <t xml:space="preserve">Transaktioner</t>
  </si>
  <si>
    <t xml:space="preserve">Skriv in varje inkomst, utgift och sparinsättning. Belopp anges alltid positivt – typen avgör tecknet.</t>
  </si>
  <si>
    <t xml:space="preserve">Datum</t>
  </si>
  <si>
    <t xml:space="preserve">Beskrivning</t>
  </si>
  <si>
    <t xml:space="preserve">Belopp</t>
  </si>
  <si>
    <t xml:space="preserve">Lön januari</t>
  </si>
  <si>
    <t xml:space="preserve">Hyra februari</t>
  </si>
  <si>
    <t xml:space="preserve">ICA veckohandling</t>
  </si>
  <si>
    <t xml:space="preserve">Autosparande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</si>
</sst>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#,##0&quot; kr&quot;;[RED]\-#,##0&quot; kr&quot;;\–"/>
    <numFmt numFmtId="167" formatCode="0%"/>
    <numFmt numFmtId="168" formatCode="#,##0"/>
    <numFmt numFmtId="169" formatCode="yyyy\-mm\-dd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1F3A5F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6B778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2A9D8F"/>
      <name val="Arial"/>
      <family val="0"/>
      <charset val="1"/>
    </font>
    <font>
      <b val="true"/>
      <sz val="16"/>
      <color rgb="FFE76F51"/>
      <name val="Arial"/>
      <family val="0"/>
      <charset val="1"/>
    </font>
    <font>
      <b val="true"/>
      <sz val="16"/>
      <color rgb="FF457B9D"/>
      <name val="Arial"/>
      <family val="0"/>
      <charset val="1"/>
    </font>
    <font>
      <b val="true"/>
      <sz val="16"/>
      <color rgb="FF1F3A5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2A9D8F"/>
      <name val="Arial"/>
      <family val="0"/>
      <charset val="1"/>
    </font>
    <font>
      <b val="true"/>
      <sz val="11"/>
      <color rgb="FFE76F51"/>
      <name val="Arial"/>
      <family val="0"/>
      <charset val="1"/>
    </font>
    <font>
      <b val="true"/>
      <sz val="11"/>
      <color rgb="FF457B9D"/>
      <name val="Arial"/>
      <family val="0"/>
      <charset val="1"/>
    </font>
    <font>
      <b val="true"/>
      <sz val="9"/>
      <color rgb="FF1F3A5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8"/>
      <color rgb="FF1F3A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sz val="11"/>
      <color rgb="FF6B7785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4CC"/>
        <bgColor rgb="FFFDECEA"/>
      </patternFill>
    </fill>
    <fill>
      <patternFill patternType="solid">
        <fgColor rgb="FF2A9D8F"/>
        <bgColor rgb="FF457B9D"/>
      </patternFill>
    </fill>
    <fill>
      <patternFill patternType="solid">
        <fgColor rgb="FFE76F51"/>
        <bgColor rgb="FFFF6600"/>
      </patternFill>
    </fill>
    <fill>
      <patternFill patternType="solid">
        <fgColor rgb="FF457B9D"/>
        <bgColor rgb="FF6B7785"/>
      </patternFill>
    </fill>
    <fill>
      <patternFill patternType="solid">
        <fgColor rgb="FF1F3A5F"/>
        <bgColor rgb="FF333333"/>
      </patternFill>
    </fill>
    <fill>
      <patternFill patternType="solid">
        <fgColor rgb="FFF4F7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C0392B"/>
      </font>
      <fill>
        <patternFill>
          <bgColor rgb="FFFDECEA"/>
        </patternFill>
      </fill>
    </dxf>
    <dxf>
      <font>
        <name val="Arial"/>
        <charset val="1"/>
        <family val="0"/>
        <color rgb="FF1E7B4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B4F"/>
      <rgbColor rgb="FFC0C0C0"/>
      <rgbColor rgb="FF878787"/>
      <rgbColor rgb="FF9999FF"/>
      <rgbColor rgb="FF993366"/>
      <rgbColor rgb="FFFFF4CC"/>
      <rgbColor rgb="FFF4F7FA"/>
      <rgbColor rgb="FF660066"/>
      <rgbColor rgb="FFE76F51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EA"/>
      <rgbColor rgb="FFCCFFCC"/>
      <rgbColor rgb="FFFDECEA"/>
      <rgbColor rgb="FF99CCFF"/>
      <rgbColor rgb="FFFF99CC"/>
      <rgbColor rgb="FFCC99FF"/>
      <rgbColor rgb="FFFFCC99"/>
      <rgbColor rgb="FF457B9D"/>
      <rgbColor rgb="FF33CCCC"/>
      <rgbColor rgb="FF99CC00"/>
      <rgbColor rgb="FFFFCC00"/>
      <rgbColor rgb="FFFF9900"/>
      <rgbColor rgb="FFFF6600"/>
      <rgbColor rgb="FF6B7785"/>
      <rgbColor rgb="FF969696"/>
      <rgbColor rgb="FF1F3A5F"/>
      <rgbColor rgb="FF2A9D8F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Inkomster vs utgifter per månad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Översikt!C46</c:f>
              <c:strCache>
                <c:ptCount val="1"/>
                <c:pt idx="0">
                  <c:v>Inkomster</c:v>
                </c:pt>
              </c:strCache>
            </c:strRef>
          </c:tx>
          <c:spPr>
            <a:solidFill>
              <a:srgbClr val="2a9d8f"/>
            </a:solidFill>
            <a:ln w="0">
              <a:solidFill>
                <a:srgbClr val="2a9d8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Översikt!$D$9:$O$9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Maj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Översikt!$D$46:$O$46</c:f>
              <c:numCache>
                <c:formatCode>#,##0" kr";[RED]\-#,##0" kr";\–</c:formatCode>
                <c:ptCount val="12"/>
                <c:pt idx="0">
                  <c:v>42000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Översikt!C47</c:f>
              <c:strCache>
                <c:ptCount val="1"/>
                <c:pt idx="0">
                  <c:v>Utgifter</c:v>
                </c:pt>
              </c:strCache>
            </c:strRef>
          </c:tx>
          <c:spPr>
            <a:solidFill>
              <a:srgbClr val="e76f51"/>
            </a:solidFill>
            <a:ln w="0">
              <a:solidFill>
                <a:srgbClr val="e76f51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Översikt!$D$9:$O$9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Maj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Översikt!$D$47:$O$47</c:f>
              <c:numCache>
                <c:formatCode>#,##0" kr";[RED]\-#,##0" kr";\–</c:formatCode>
                <c:ptCount val="12"/>
                <c:pt idx="0">
                  <c:v>13740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Översikt!C48</c:f>
              <c:strCache>
                <c:ptCount val="1"/>
                <c:pt idx="0">
                  <c:v>Sparande</c:v>
                </c:pt>
              </c:strCache>
            </c:strRef>
          </c:tx>
          <c:spPr>
            <a:solidFill>
              <a:srgbClr val="457b9d"/>
            </a:solidFill>
            <a:ln w="0">
              <a:solidFill>
                <a:srgbClr val="457b9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Översikt!$D$9:$O$9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Maj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Översikt!$D$48:$O$48</c:f>
              <c:numCache>
                <c:formatCode>#,##0" kr";[RED]\-#,##0" kr";\–</c:formatCode>
                <c:ptCount val="12"/>
                <c:pt idx="0">
                  <c:v>3000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80325672"/>
        <c:axId val="30310586"/>
      </c:barChart>
      <c:catAx>
        <c:axId val="80325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310586"/>
        <c:crosses val="autoZero"/>
        <c:auto val="1"/>
        <c:lblAlgn val="ctr"/>
        <c:lblOffset val="100"/>
        <c:noMultiLvlLbl val="0"/>
      </c:catAx>
      <c:valAx>
        <c:axId val="30310586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32567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50</xdr:row>
      <xdr:rowOff>10800</xdr:rowOff>
    </xdr:from>
    <xdr:to>
      <xdr:col>13</xdr:col>
      <xdr:colOff>55800</xdr:colOff>
      <xdr:row>65</xdr:row>
      <xdr:rowOff>33120</xdr:rowOff>
    </xdr:to>
    <xdr:graphicFrame>
      <xdr:nvGraphicFramePr>
        <xdr:cNvPr id="0" name="Chart 1"/>
        <xdr:cNvGraphicFramePr/>
      </xdr:nvGraphicFramePr>
      <xdr:xfrm>
        <a:off x="141120" y="9925200"/>
        <a:ext cx="93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S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15" min="4" style="0" width="10"/>
    <col collapsed="false" customWidth="true" hidden="false" outlineLevel="0" max="18" min="16" style="0" width="13"/>
    <col collapsed="false" customWidth="true" hidden="false" outlineLevel="0" max="19" min="19" style="0" width="11"/>
  </cols>
  <sheetData>
    <row r="2" customFormat="false" ht="29.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  <c r="C3" s="3" t="n">
        <v>2026</v>
      </c>
      <c r="D3" s="4" t="s">
        <v>2</v>
      </c>
    </row>
    <row r="5" customFormat="false" ht="15" hidden="false" customHeight="false" outlineLevel="0" collapsed="false">
      <c r="C5" s="5" t="s">
        <v>3</v>
      </c>
      <c r="D5" s="5"/>
      <c r="F5" s="6" t="s">
        <v>4</v>
      </c>
      <c r="G5" s="6"/>
      <c r="I5" s="7" t="s">
        <v>5</v>
      </c>
      <c r="J5" s="7"/>
      <c r="L5" s="8" t="s">
        <v>6</v>
      </c>
      <c r="M5" s="8"/>
    </row>
    <row r="6" customFormat="false" ht="31.5" hidden="false" customHeight="true" outlineLevel="0" collapsed="false">
      <c r="C6" s="9" t="n">
        <f aca="false">SUMIFS(Transaktioner!$E$6:$E$505,Transaktioner!$F$6:$F$505,"Inkomst",Transaktioner!$B$6:$B$505,"&gt;="&amp;DATE($C$3,1,1),Transaktioner!$B$6:$B$505,"&lt;"&amp;DATE($C$3+1,1,1))</f>
        <v>42000</v>
      </c>
      <c r="D6" s="9"/>
      <c r="F6" s="10" t="n">
        <f aca="false">SUMIFS(Transaktioner!$E$6:$E$505,Transaktioner!$F$6:$F$505,"Utgift",Transaktioner!$B$6:$B$505,"&gt;="&amp;DATE($C$3,1,1),Transaktioner!$B$6:$B$505,"&lt;"&amp;DATE($C$3+1,1,1))</f>
        <v>13740</v>
      </c>
      <c r="G6" s="10"/>
      <c r="I6" s="11" t="n">
        <f aca="false">SUMIFS(Transaktioner!$E$6:$E$505,Transaktioner!$F$6:$F$505,"Sparande",Transaktioner!$B$6:$B$505,"&gt;="&amp;DATE($C$3,1,1),Transaktioner!$B$6:$B$505,"&lt;"&amp;DATE($C$3+1,1,1))</f>
        <v>3000</v>
      </c>
      <c r="J6" s="11"/>
      <c r="L6" s="12" t="n">
        <f aca="false">C6-F6-I6</f>
        <v>25260</v>
      </c>
      <c r="M6" s="12"/>
    </row>
    <row r="9" customFormat="false" ht="15" hidden="false" customHeight="false" outlineLevel="0" collapsed="false">
      <c r="B9" s="13" t="s">
        <v>7</v>
      </c>
      <c r="C9" s="13" t="s">
        <v>8</v>
      </c>
      <c r="D9" s="13" t="s">
        <v>9</v>
      </c>
      <c r="E9" s="13" t="s">
        <v>10</v>
      </c>
      <c r="F9" s="13" t="s">
        <v>11</v>
      </c>
      <c r="G9" s="13" t="s">
        <v>12</v>
      </c>
      <c r="H9" s="13" t="s">
        <v>13</v>
      </c>
      <c r="I9" s="13" t="s">
        <v>14</v>
      </c>
      <c r="J9" s="13" t="s">
        <v>15</v>
      </c>
      <c r="K9" s="13" t="s">
        <v>16</v>
      </c>
      <c r="L9" s="13" t="s">
        <v>17</v>
      </c>
      <c r="M9" s="13" t="s">
        <v>18</v>
      </c>
      <c r="N9" s="13" t="s">
        <v>19</v>
      </c>
      <c r="O9" s="13" t="s">
        <v>20</v>
      </c>
      <c r="P9" s="13" t="s">
        <v>21</v>
      </c>
      <c r="Q9" s="13" t="s">
        <v>22</v>
      </c>
      <c r="R9" s="13" t="s">
        <v>23</v>
      </c>
      <c r="S9" s="13" t="s">
        <v>24</v>
      </c>
    </row>
    <row r="10" customFormat="false" ht="15" hidden="false" customHeight="false" outlineLevel="0" collapsed="false">
      <c r="B10" s="14" t="str">
        <f aca="false">IF(Kategorier!$C$6="","",Kategorier!$B$6)</f>
        <v>Inkomst</v>
      </c>
      <c r="C10" s="15" t="str">
        <f aca="false">IF(Kategorier!$C$6="","",Kategorier!$C$6)</f>
        <v>Lön</v>
      </c>
      <c r="D10" s="16" t="n">
        <f aca="false">IF($C10="","",SUMIFS(Transaktioner!$E$6:$E$505,Transaktioner!$C$6:$C$505,$C10,Transaktioner!$B$6:$B$505,"&gt;="&amp;DATE($C$3,1,1),Transaktioner!$B$6:$B$505,"&lt;"&amp;DATE($C$3,2,1)))</f>
        <v>42000</v>
      </c>
      <c r="E10" s="16" t="n">
        <f aca="false">IF($C10="","",SUMIFS(Transaktioner!$E$6:$E$505,Transaktioner!$C$6:$C$505,$C10,Transaktioner!$B$6:$B$505,"&gt;="&amp;DATE($C$3,2,1),Transaktioner!$B$6:$B$505,"&lt;"&amp;DATE($C$3,3,1)))</f>
        <v>0</v>
      </c>
      <c r="F10" s="16" t="n">
        <f aca="false">IF($C10="","",SUMIFS(Transaktioner!$E$6:$E$505,Transaktioner!$C$6:$C$505,$C10,Transaktioner!$B$6:$B$505,"&gt;="&amp;DATE($C$3,3,1),Transaktioner!$B$6:$B$505,"&lt;"&amp;DATE($C$3,4,1)))</f>
        <v>0</v>
      </c>
      <c r="G10" s="16" t="n">
        <f aca="false">IF($C10="","",SUMIFS(Transaktioner!$E$6:$E$505,Transaktioner!$C$6:$C$505,$C10,Transaktioner!$B$6:$B$505,"&gt;="&amp;DATE($C$3,4,1),Transaktioner!$B$6:$B$505,"&lt;"&amp;DATE($C$3,5,1)))</f>
        <v>0</v>
      </c>
      <c r="H10" s="16" t="n">
        <f aca="false">IF($C10="","",SUMIFS(Transaktioner!$E$6:$E$505,Transaktioner!$C$6:$C$505,$C10,Transaktioner!$B$6:$B$505,"&gt;="&amp;DATE($C$3,5,1),Transaktioner!$B$6:$B$505,"&lt;"&amp;DATE($C$3,6,1)))</f>
        <v>0</v>
      </c>
      <c r="I10" s="16" t="n">
        <f aca="false">IF($C10="","",SUMIFS(Transaktioner!$E$6:$E$505,Transaktioner!$C$6:$C$505,$C10,Transaktioner!$B$6:$B$505,"&gt;="&amp;DATE($C$3,6,1),Transaktioner!$B$6:$B$505,"&lt;"&amp;DATE($C$3,7,1)))</f>
        <v>0</v>
      </c>
      <c r="J10" s="16" t="n">
        <f aca="false">IF($C10="","",SUMIFS(Transaktioner!$E$6:$E$505,Transaktioner!$C$6:$C$505,$C10,Transaktioner!$B$6:$B$505,"&gt;="&amp;DATE($C$3,7,1),Transaktioner!$B$6:$B$505,"&lt;"&amp;DATE($C$3,8,1)))</f>
        <v>0</v>
      </c>
      <c r="K10" s="16" t="n">
        <f aca="false">IF($C10="","",SUMIFS(Transaktioner!$E$6:$E$505,Transaktioner!$C$6:$C$505,$C10,Transaktioner!$B$6:$B$505,"&gt;="&amp;DATE($C$3,8,1),Transaktioner!$B$6:$B$505,"&lt;"&amp;DATE($C$3,9,1)))</f>
        <v>0</v>
      </c>
      <c r="L10" s="16" t="n">
        <f aca="false">IF($C10="","",SUMIFS(Transaktioner!$E$6:$E$505,Transaktioner!$C$6:$C$505,$C10,Transaktioner!$B$6:$B$505,"&gt;="&amp;DATE($C$3,9,1),Transaktioner!$B$6:$B$505,"&lt;"&amp;DATE($C$3,10,1)))</f>
        <v>0</v>
      </c>
      <c r="M10" s="16" t="n">
        <f aca="false">IF($C10="","",SUMIFS(Transaktioner!$E$6:$E$505,Transaktioner!$C$6:$C$505,$C10,Transaktioner!$B$6:$B$505,"&gt;="&amp;DATE($C$3,10,1),Transaktioner!$B$6:$B$505,"&lt;"&amp;DATE($C$3,11,1)))</f>
        <v>0</v>
      </c>
      <c r="N10" s="16" t="n">
        <f aca="false">IF($C10="","",SUMIFS(Transaktioner!$E$6:$E$505,Transaktioner!$C$6:$C$505,$C10,Transaktioner!$B$6:$B$505,"&gt;="&amp;DATE($C$3,11,1),Transaktioner!$B$6:$B$505,"&lt;"&amp;DATE($C$3,12,1)))</f>
        <v>0</v>
      </c>
      <c r="O10" s="16" t="n">
        <f aca="false">IF($C10="","",SUMIFS(Transaktioner!$E$6:$E$505,Transaktioner!$C$6:$C$505,$C10,Transaktioner!$B$6:$B$505,"&gt;="&amp;DATE($C$3,12,1),Transaktioner!$B$6:$B$505,"&lt;"&amp;DATE($C$3,13,1)))</f>
        <v>0</v>
      </c>
      <c r="P10" s="17" t="n">
        <f aca="false">IF($C10="","",SUM(D10:O10))</f>
        <v>42000</v>
      </c>
      <c r="Q10" s="16" t="n">
        <f aca="false">IF($C10="","",Kategorier!$D$6*12)</f>
        <v>504000</v>
      </c>
      <c r="R10" s="16" t="n">
        <f aca="false">IF($C10="","",IF($B10="Inkomst",P10-Q10,Q10-P10))</f>
        <v>-462000</v>
      </c>
      <c r="S10" s="18" t="n">
        <f aca="false">IF(OR($C10="",N(Q10)=0),"",P10/Q10)</f>
        <v>0.0833333333333333</v>
      </c>
    </row>
    <row r="11" customFormat="false" ht="15" hidden="false" customHeight="false" outlineLevel="0" collapsed="false">
      <c r="B11" s="19" t="str">
        <f aca="false">IF(Kategorier!$C$7="","",Kategorier!$B$7)</f>
        <v>Inkomst</v>
      </c>
      <c r="C11" s="20" t="str">
        <f aca="false">IF(Kategorier!$C$7="","",Kategorier!$C$7)</f>
        <v>Barnbidrag</v>
      </c>
      <c r="D11" s="21" t="n">
        <f aca="false">IF($C11="","",SUMIFS(Transaktioner!$E$6:$E$505,Transaktioner!$C$6:$C$505,$C11,Transaktioner!$B$6:$B$505,"&gt;="&amp;DATE($C$3,1,1),Transaktioner!$B$6:$B$505,"&lt;"&amp;DATE($C$3,2,1)))</f>
        <v>0</v>
      </c>
      <c r="E11" s="21" t="n">
        <f aca="false">IF($C11="","",SUMIFS(Transaktioner!$E$6:$E$505,Transaktioner!$C$6:$C$505,$C11,Transaktioner!$B$6:$B$505,"&gt;="&amp;DATE($C$3,2,1),Transaktioner!$B$6:$B$505,"&lt;"&amp;DATE($C$3,3,1)))</f>
        <v>0</v>
      </c>
      <c r="F11" s="21" t="n">
        <f aca="false">IF($C11="","",SUMIFS(Transaktioner!$E$6:$E$505,Transaktioner!$C$6:$C$505,$C11,Transaktioner!$B$6:$B$505,"&gt;="&amp;DATE($C$3,3,1),Transaktioner!$B$6:$B$505,"&lt;"&amp;DATE($C$3,4,1)))</f>
        <v>0</v>
      </c>
      <c r="G11" s="21" t="n">
        <f aca="false">IF($C11="","",SUMIFS(Transaktioner!$E$6:$E$505,Transaktioner!$C$6:$C$505,$C11,Transaktioner!$B$6:$B$505,"&gt;="&amp;DATE($C$3,4,1),Transaktioner!$B$6:$B$505,"&lt;"&amp;DATE($C$3,5,1)))</f>
        <v>0</v>
      </c>
      <c r="H11" s="21" t="n">
        <f aca="false">IF($C11="","",SUMIFS(Transaktioner!$E$6:$E$505,Transaktioner!$C$6:$C$505,$C11,Transaktioner!$B$6:$B$505,"&gt;="&amp;DATE($C$3,5,1),Transaktioner!$B$6:$B$505,"&lt;"&amp;DATE($C$3,6,1)))</f>
        <v>0</v>
      </c>
      <c r="I11" s="21" t="n">
        <f aca="false">IF($C11="","",SUMIFS(Transaktioner!$E$6:$E$505,Transaktioner!$C$6:$C$505,$C11,Transaktioner!$B$6:$B$505,"&gt;="&amp;DATE($C$3,6,1),Transaktioner!$B$6:$B$505,"&lt;"&amp;DATE($C$3,7,1)))</f>
        <v>0</v>
      </c>
      <c r="J11" s="21" t="n">
        <f aca="false">IF($C11="","",SUMIFS(Transaktioner!$E$6:$E$505,Transaktioner!$C$6:$C$505,$C11,Transaktioner!$B$6:$B$505,"&gt;="&amp;DATE($C$3,7,1),Transaktioner!$B$6:$B$505,"&lt;"&amp;DATE($C$3,8,1)))</f>
        <v>0</v>
      </c>
      <c r="K11" s="21" t="n">
        <f aca="false">IF($C11="","",SUMIFS(Transaktioner!$E$6:$E$505,Transaktioner!$C$6:$C$505,$C11,Transaktioner!$B$6:$B$505,"&gt;="&amp;DATE($C$3,8,1),Transaktioner!$B$6:$B$505,"&lt;"&amp;DATE($C$3,9,1)))</f>
        <v>0</v>
      </c>
      <c r="L11" s="21" t="n">
        <f aca="false">IF($C11="","",SUMIFS(Transaktioner!$E$6:$E$505,Transaktioner!$C$6:$C$505,$C11,Transaktioner!$B$6:$B$505,"&gt;="&amp;DATE($C$3,9,1),Transaktioner!$B$6:$B$505,"&lt;"&amp;DATE($C$3,10,1)))</f>
        <v>0</v>
      </c>
      <c r="M11" s="21" t="n">
        <f aca="false">IF($C11="","",SUMIFS(Transaktioner!$E$6:$E$505,Transaktioner!$C$6:$C$505,$C11,Transaktioner!$B$6:$B$505,"&gt;="&amp;DATE($C$3,10,1),Transaktioner!$B$6:$B$505,"&lt;"&amp;DATE($C$3,11,1)))</f>
        <v>0</v>
      </c>
      <c r="N11" s="21" t="n">
        <f aca="false">IF($C11="","",SUMIFS(Transaktioner!$E$6:$E$505,Transaktioner!$C$6:$C$505,$C11,Transaktioner!$B$6:$B$505,"&gt;="&amp;DATE($C$3,11,1),Transaktioner!$B$6:$B$505,"&lt;"&amp;DATE($C$3,12,1)))</f>
        <v>0</v>
      </c>
      <c r="O11" s="21" t="n">
        <f aca="false">IF($C11="","",SUMIFS(Transaktioner!$E$6:$E$505,Transaktioner!$C$6:$C$505,$C11,Transaktioner!$B$6:$B$505,"&gt;="&amp;DATE($C$3,12,1),Transaktioner!$B$6:$B$505,"&lt;"&amp;DATE($C$3,13,1)))</f>
        <v>0</v>
      </c>
      <c r="P11" s="22" t="n">
        <f aca="false">IF($C11="","",SUM(D11:O11))</f>
        <v>0</v>
      </c>
      <c r="Q11" s="21" t="n">
        <f aca="false">IF($C11="","",Kategorier!$D$7*12)</f>
        <v>15000</v>
      </c>
      <c r="R11" s="21" t="n">
        <f aca="false">IF($C11="","",IF($B11="Inkomst",P11-Q11,Q11-P11))</f>
        <v>-15000</v>
      </c>
      <c r="S11" s="23" t="n">
        <f aca="false">IF(OR($C11="",N(Q11)=0),"",P11/Q11)</f>
        <v>0</v>
      </c>
    </row>
    <row r="12" customFormat="false" ht="15" hidden="false" customHeight="false" outlineLevel="0" collapsed="false">
      <c r="B12" s="14" t="str">
        <f aca="false">IF(Kategorier!$C$8="","",Kategorier!$B$8)</f>
        <v>Inkomst</v>
      </c>
      <c r="C12" s="15" t="str">
        <f aca="false">IF(Kategorier!$C$8="","",Kategorier!$C$8)</f>
        <v>Övrigt</v>
      </c>
      <c r="D12" s="16" t="n">
        <f aca="false">IF($C12="","",SUMIFS(Transaktioner!$E$6:$E$505,Transaktioner!$C$6:$C$505,$C12,Transaktioner!$B$6:$B$505,"&gt;="&amp;DATE($C$3,1,1),Transaktioner!$B$6:$B$505,"&lt;"&amp;DATE($C$3,2,1)))</f>
        <v>0</v>
      </c>
      <c r="E12" s="16" t="n">
        <f aca="false">IF($C12="","",SUMIFS(Transaktioner!$E$6:$E$505,Transaktioner!$C$6:$C$505,$C12,Transaktioner!$B$6:$B$505,"&gt;="&amp;DATE($C$3,2,1),Transaktioner!$B$6:$B$505,"&lt;"&amp;DATE($C$3,3,1)))</f>
        <v>0</v>
      </c>
      <c r="F12" s="16" t="n">
        <f aca="false">IF($C12="","",SUMIFS(Transaktioner!$E$6:$E$505,Transaktioner!$C$6:$C$505,$C12,Transaktioner!$B$6:$B$505,"&gt;="&amp;DATE($C$3,3,1),Transaktioner!$B$6:$B$505,"&lt;"&amp;DATE($C$3,4,1)))</f>
        <v>0</v>
      </c>
      <c r="G12" s="16" t="n">
        <f aca="false">IF($C12="","",SUMIFS(Transaktioner!$E$6:$E$505,Transaktioner!$C$6:$C$505,$C12,Transaktioner!$B$6:$B$505,"&gt;="&amp;DATE($C$3,4,1),Transaktioner!$B$6:$B$505,"&lt;"&amp;DATE($C$3,5,1)))</f>
        <v>0</v>
      </c>
      <c r="H12" s="16" t="n">
        <f aca="false">IF($C12="","",SUMIFS(Transaktioner!$E$6:$E$505,Transaktioner!$C$6:$C$505,$C12,Transaktioner!$B$6:$B$505,"&gt;="&amp;DATE($C$3,5,1),Transaktioner!$B$6:$B$505,"&lt;"&amp;DATE($C$3,6,1)))</f>
        <v>0</v>
      </c>
      <c r="I12" s="16" t="n">
        <f aca="false">IF($C12="","",SUMIFS(Transaktioner!$E$6:$E$505,Transaktioner!$C$6:$C$505,$C12,Transaktioner!$B$6:$B$505,"&gt;="&amp;DATE($C$3,6,1),Transaktioner!$B$6:$B$505,"&lt;"&amp;DATE($C$3,7,1)))</f>
        <v>0</v>
      </c>
      <c r="J12" s="16" t="n">
        <f aca="false">IF($C12="","",SUMIFS(Transaktioner!$E$6:$E$505,Transaktioner!$C$6:$C$505,$C12,Transaktioner!$B$6:$B$505,"&gt;="&amp;DATE($C$3,7,1),Transaktioner!$B$6:$B$505,"&lt;"&amp;DATE($C$3,8,1)))</f>
        <v>0</v>
      </c>
      <c r="K12" s="16" t="n">
        <f aca="false">IF($C12="","",SUMIFS(Transaktioner!$E$6:$E$505,Transaktioner!$C$6:$C$505,$C12,Transaktioner!$B$6:$B$505,"&gt;="&amp;DATE($C$3,8,1),Transaktioner!$B$6:$B$505,"&lt;"&amp;DATE($C$3,9,1)))</f>
        <v>0</v>
      </c>
      <c r="L12" s="16" t="n">
        <f aca="false">IF($C12="","",SUMIFS(Transaktioner!$E$6:$E$505,Transaktioner!$C$6:$C$505,$C12,Transaktioner!$B$6:$B$505,"&gt;="&amp;DATE($C$3,9,1),Transaktioner!$B$6:$B$505,"&lt;"&amp;DATE($C$3,10,1)))</f>
        <v>0</v>
      </c>
      <c r="M12" s="16" t="n">
        <f aca="false">IF($C12="","",SUMIFS(Transaktioner!$E$6:$E$505,Transaktioner!$C$6:$C$505,$C12,Transaktioner!$B$6:$B$505,"&gt;="&amp;DATE($C$3,10,1),Transaktioner!$B$6:$B$505,"&lt;"&amp;DATE($C$3,11,1)))</f>
        <v>0</v>
      </c>
      <c r="N12" s="16" t="n">
        <f aca="false">IF($C12="","",SUMIFS(Transaktioner!$E$6:$E$505,Transaktioner!$C$6:$C$505,$C12,Transaktioner!$B$6:$B$505,"&gt;="&amp;DATE($C$3,11,1),Transaktioner!$B$6:$B$505,"&lt;"&amp;DATE($C$3,12,1)))</f>
        <v>0</v>
      </c>
      <c r="O12" s="16" t="n">
        <f aca="false">IF($C12="","",SUMIFS(Transaktioner!$E$6:$E$505,Transaktioner!$C$6:$C$505,$C12,Transaktioner!$B$6:$B$505,"&gt;="&amp;DATE($C$3,12,1),Transaktioner!$B$6:$B$505,"&lt;"&amp;DATE($C$3,13,1)))</f>
        <v>0</v>
      </c>
      <c r="P12" s="17" t="n">
        <f aca="false">IF($C12="","",SUM(D12:O12))</f>
        <v>0</v>
      </c>
      <c r="Q12" s="16" t="n">
        <f aca="false">IF($C12="","",Kategorier!$D$8*12)</f>
        <v>0</v>
      </c>
      <c r="R12" s="16" t="n">
        <f aca="false">IF($C12="","",IF($B12="Inkomst",P12-Q12,Q12-P12))</f>
        <v>0</v>
      </c>
      <c r="S12" s="18" t="str">
        <f aca="false">IF(OR($C12="",N(Q12)=0),"",P12/Q12)</f>
        <v/>
      </c>
    </row>
    <row r="13" customFormat="false" ht="15" hidden="false" customHeight="false" outlineLevel="0" collapsed="false">
      <c r="B13" s="19" t="str">
        <f aca="false">IF(Kategorier!$C$9="","",Kategorier!$B$9)</f>
        <v>Utgift</v>
      </c>
      <c r="C13" s="20" t="str">
        <f aca="false">IF(Kategorier!$C$9="","",Kategorier!$C$9)</f>
        <v>Boende (hyra/lån)</v>
      </c>
      <c r="D13" s="21" t="n">
        <f aca="false">IF($C13="","",SUMIFS(Transaktioner!$E$6:$E$505,Transaktioner!$C$6:$C$505,$C13,Transaktioner!$B$6:$B$505,"&gt;="&amp;DATE($C$3,1,1),Transaktioner!$B$6:$B$505,"&lt;"&amp;DATE($C$3,2,1)))</f>
        <v>12500</v>
      </c>
      <c r="E13" s="21" t="n">
        <f aca="false">IF($C13="","",SUMIFS(Transaktioner!$E$6:$E$505,Transaktioner!$C$6:$C$505,$C13,Transaktioner!$B$6:$B$505,"&gt;="&amp;DATE($C$3,2,1),Transaktioner!$B$6:$B$505,"&lt;"&amp;DATE($C$3,3,1)))</f>
        <v>0</v>
      </c>
      <c r="F13" s="21" t="n">
        <f aca="false">IF($C13="","",SUMIFS(Transaktioner!$E$6:$E$505,Transaktioner!$C$6:$C$505,$C13,Transaktioner!$B$6:$B$505,"&gt;="&amp;DATE($C$3,3,1),Transaktioner!$B$6:$B$505,"&lt;"&amp;DATE($C$3,4,1)))</f>
        <v>0</v>
      </c>
      <c r="G13" s="21" t="n">
        <f aca="false">IF($C13="","",SUMIFS(Transaktioner!$E$6:$E$505,Transaktioner!$C$6:$C$505,$C13,Transaktioner!$B$6:$B$505,"&gt;="&amp;DATE($C$3,4,1),Transaktioner!$B$6:$B$505,"&lt;"&amp;DATE($C$3,5,1)))</f>
        <v>0</v>
      </c>
      <c r="H13" s="21" t="n">
        <f aca="false">IF($C13="","",SUMIFS(Transaktioner!$E$6:$E$505,Transaktioner!$C$6:$C$505,$C13,Transaktioner!$B$6:$B$505,"&gt;="&amp;DATE($C$3,5,1),Transaktioner!$B$6:$B$505,"&lt;"&amp;DATE($C$3,6,1)))</f>
        <v>0</v>
      </c>
      <c r="I13" s="21" t="n">
        <f aca="false">IF($C13="","",SUMIFS(Transaktioner!$E$6:$E$505,Transaktioner!$C$6:$C$505,$C13,Transaktioner!$B$6:$B$505,"&gt;="&amp;DATE($C$3,6,1),Transaktioner!$B$6:$B$505,"&lt;"&amp;DATE($C$3,7,1)))</f>
        <v>0</v>
      </c>
      <c r="J13" s="21" t="n">
        <f aca="false">IF($C13="","",SUMIFS(Transaktioner!$E$6:$E$505,Transaktioner!$C$6:$C$505,$C13,Transaktioner!$B$6:$B$505,"&gt;="&amp;DATE($C$3,7,1),Transaktioner!$B$6:$B$505,"&lt;"&amp;DATE($C$3,8,1)))</f>
        <v>0</v>
      </c>
      <c r="K13" s="21" t="n">
        <f aca="false">IF($C13="","",SUMIFS(Transaktioner!$E$6:$E$505,Transaktioner!$C$6:$C$505,$C13,Transaktioner!$B$6:$B$505,"&gt;="&amp;DATE($C$3,8,1),Transaktioner!$B$6:$B$505,"&lt;"&amp;DATE($C$3,9,1)))</f>
        <v>0</v>
      </c>
      <c r="L13" s="21" t="n">
        <f aca="false">IF($C13="","",SUMIFS(Transaktioner!$E$6:$E$505,Transaktioner!$C$6:$C$505,$C13,Transaktioner!$B$6:$B$505,"&gt;="&amp;DATE($C$3,9,1),Transaktioner!$B$6:$B$505,"&lt;"&amp;DATE($C$3,10,1)))</f>
        <v>0</v>
      </c>
      <c r="M13" s="21" t="n">
        <f aca="false">IF($C13="","",SUMIFS(Transaktioner!$E$6:$E$505,Transaktioner!$C$6:$C$505,$C13,Transaktioner!$B$6:$B$505,"&gt;="&amp;DATE($C$3,10,1),Transaktioner!$B$6:$B$505,"&lt;"&amp;DATE($C$3,11,1)))</f>
        <v>0</v>
      </c>
      <c r="N13" s="21" t="n">
        <f aca="false">IF($C13="","",SUMIFS(Transaktioner!$E$6:$E$505,Transaktioner!$C$6:$C$505,$C13,Transaktioner!$B$6:$B$505,"&gt;="&amp;DATE($C$3,11,1),Transaktioner!$B$6:$B$505,"&lt;"&amp;DATE($C$3,12,1)))</f>
        <v>0</v>
      </c>
      <c r="O13" s="21" t="n">
        <f aca="false">IF($C13="","",SUMIFS(Transaktioner!$E$6:$E$505,Transaktioner!$C$6:$C$505,$C13,Transaktioner!$B$6:$B$505,"&gt;="&amp;DATE($C$3,12,1),Transaktioner!$B$6:$B$505,"&lt;"&amp;DATE($C$3,13,1)))</f>
        <v>0</v>
      </c>
      <c r="P13" s="22" t="n">
        <f aca="false">IF($C13="","",SUM(D13:O13))</f>
        <v>12500</v>
      </c>
      <c r="Q13" s="21" t="n">
        <f aca="false">IF($C13="","",Kategorier!$D$9*12)</f>
        <v>150000</v>
      </c>
      <c r="R13" s="21" t="n">
        <f aca="false">IF($C13="","",IF($B13="Inkomst",P13-Q13,Q13-P13))</f>
        <v>137500</v>
      </c>
      <c r="S13" s="23" t="n">
        <f aca="false">IF(OR($C13="",N(Q13)=0),"",P13/Q13)</f>
        <v>0.0833333333333333</v>
      </c>
    </row>
    <row r="14" customFormat="false" ht="15" hidden="false" customHeight="false" outlineLevel="0" collapsed="false">
      <c r="B14" s="14" t="str">
        <f aca="false">IF(Kategorier!$C$10="","",Kategorier!$B$10)</f>
        <v>Utgift</v>
      </c>
      <c r="C14" s="15" t="str">
        <f aca="false">IF(Kategorier!$C$10="","",Kategorier!$C$10)</f>
        <v>El &amp; värme</v>
      </c>
      <c r="D14" s="16" t="n">
        <f aca="false">IF($C14="","",SUMIFS(Transaktioner!$E$6:$E$505,Transaktioner!$C$6:$C$505,$C14,Transaktioner!$B$6:$B$505,"&gt;="&amp;DATE($C$3,1,1),Transaktioner!$B$6:$B$505,"&lt;"&amp;DATE($C$3,2,1)))</f>
        <v>0</v>
      </c>
      <c r="E14" s="16" t="n">
        <f aca="false">IF($C14="","",SUMIFS(Transaktioner!$E$6:$E$505,Transaktioner!$C$6:$C$505,$C14,Transaktioner!$B$6:$B$505,"&gt;="&amp;DATE($C$3,2,1),Transaktioner!$B$6:$B$505,"&lt;"&amp;DATE($C$3,3,1)))</f>
        <v>0</v>
      </c>
      <c r="F14" s="16" t="n">
        <f aca="false">IF($C14="","",SUMIFS(Transaktioner!$E$6:$E$505,Transaktioner!$C$6:$C$505,$C14,Transaktioner!$B$6:$B$505,"&gt;="&amp;DATE($C$3,3,1),Transaktioner!$B$6:$B$505,"&lt;"&amp;DATE($C$3,4,1)))</f>
        <v>0</v>
      </c>
      <c r="G14" s="16" t="n">
        <f aca="false">IF($C14="","",SUMIFS(Transaktioner!$E$6:$E$505,Transaktioner!$C$6:$C$505,$C14,Transaktioner!$B$6:$B$505,"&gt;="&amp;DATE($C$3,4,1),Transaktioner!$B$6:$B$505,"&lt;"&amp;DATE($C$3,5,1)))</f>
        <v>0</v>
      </c>
      <c r="H14" s="16" t="n">
        <f aca="false">IF($C14="","",SUMIFS(Transaktioner!$E$6:$E$505,Transaktioner!$C$6:$C$505,$C14,Transaktioner!$B$6:$B$505,"&gt;="&amp;DATE($C$3,5,1),Transaktioner!$B$6:$B$505,"&lt;"&amp;DATE($C$3,6,1)))</f>
        <v>0</v>
      </c>
      <c r="I14" s="16" t="n">
        <f aca="false">IF($C14="","",SUMIFS(Transaktioner!$E$6:$E$505,Transaktioner!$C$6:$C$505,$C14,Transaktioner!$B$6:$B$505,"&gt;="&amp;DATE($C$3,6,1),Transaktioner!$B$6:$B$505,"&lt;"&amp;DATE($C$3,7,1)))</f>
        <v>0</v>
      </c>
      <c r="J14" s="16" t="n">
        <f aca="false">IF($C14="","",SUMIFS(Transaktioner!$E$6:$E$505,Transaktioner!$C$6:$C$505,$C14,Transaktioner!$B$6:$B$505,"&gt;="&amp;DATE($C$3,7,1),Transaktioner!$B$6:$B$505,"&lt;"&amp;DATE($C$3,8,1)))</f>
        <v>0</v>
      </c>
      <c r="K14" s="16" t="n">
        <f aca="false">IF($C14="","",SUMIFS(Transaktioner!$E$6:$E$505,Transaktioner!$C$6:$C$505,$C14,Transaktioner!$B$6:$B$505,"&gt;="&amp;DATE($C$3,8,1),Transaktioner!$B$6:$B$505,"&lt;"&amp;DATE($C$3,9,1)))</f>
        <v>0</v>
      </c>
      <c r="L14" s="16" t="n">
        <f aca="false">IF($C14="","",SUMIFS(Transaktioner!$E$6:$E$505,Transaktioner!$C$6:$C$505,$C14,Transaktioner!$B$6:$B$505,"&gt;="&amp;DATE($C$3,9,1),Transaktioner!$B$6:$B$505,"&lt;"&amp;DATE($C$3,10,1)))</f>
        <v>0</v>
      </c>
      <c r="M14" s="16" t="n">
        <f aca="false">IF($C14="","",SUMIFS(Transaktioner!$E$6:$E$505,Transaktioner!$C$6:$C$505,$C14,Transaktioner!$B$6:$B$505,"&gt;="&amp;DATE($C$3,10,1),Transaktioner!$B$6:$B$505,"&lt;"&amp;DATE($C$3,11,1)))</f>
        <v>0</v>
      </c>
      <c r="N14" s="16" t="n">
        <f aca="false">IF($C14="","",SUMIFS(Transaktioner!$E$6:$E$505,Transaktioner!$C$6:$C$505,$C14,Transaktioner!$B$6:$B$505,"&gt;="&amp;DATE($C$3,11,1),Transaktioner!$B$6:$B$505,"&lt;"&amp;DATE($C$3,12,1)))</f>
        <v>0</v>
      </c>
      <c r="O14" s="16" t="n">
        <f aca="false">IF($C14="","",SUMIFS(Transaktioner!$E$6:$E$505,Transaktioner!$C$6:$C$505,$C14,Transaktioner!$B$6:$B$505,"&gt;="&amp;DATE($C$3,12,1),Transaktioner!$B$6:$B$505,"&lt;"&amp;DATE($C$3,13,1)))</f>
        <v>0</v>
      </c>
      <c r="P14" s="17" t="n">
        <f aca="false">IF($C14="","",SUM(D14:O14))</f>
        <v>0</v>
      </c>
      <c r="Q14" s="16" t="n">
        <f aca="false">IF($C14="","",Kategorier!$D$10*12)</f>
        <v>16800</v>
      </c>
      <c r="R14" s="16" t="n">
        <f aca="false">IF($C14="","",IF($B14="Inkomst",P14-Q14,Q14-P14))</f>
        <v>16800</v>
      </c>
      <c r="S14" s="18" t="n">
        <f aca="false">IF(OR($C14="",N(Q14)=0),"",P14/Q14)</f>
        <v>0</v>
      </c>
    </row>
    <row r="15" customFormat="false" ht="15" hidden="false" customHeight="false" outlineLevel="0" collapsed="false">
      <c r="B15" s="19" t="str">
        <f aca="false">IF(Kategorier!$C$11="","",Kategorier!$B$11)</f>
        <v>Utgift</v>
      </c>
      <c r="C15" s="20" t="str">
        <f aca="false">IF(Kategorier!$C$11="","",Kategorier!$C$11)</f>
        <v>Bredband &amp; mobil</v>
      </c>
      <c r="D15" s="21" t="n">
        <f aca="false">IF($C15="","",SUMIFS(Transaktioner!$E$6:$E$505,Transaktioner!$C$6:$C$505,$C15,Transaktioner!$B$6:$B$505,"&gt;="&amp;DATE($C$3,1,1),Transaktioner!$B$6:$B$505,"&lt;"&amp;DATE($C$3,2,1)))</f>
        <v>0</v>
      </c>
      <c r="E15" s="21" t="n">
        <f aca="false">IF($C15="","",SUMIFS(Transaktioner!$E$6:$E$505,Transaktioner!$C$6:$C$505,$C15,Transaktioner!$B$6:$B$505,"&gt;="&amp;DATE($C$3,2,1),Transaktioner!$B$6:$B$505,"&lt;"&amp;DATE($C$3,3,1)))</f>
        <v>0</v>
      </c>
      <c r="F15" s="21" t="n">
        <f aca="false">IF($C15="","",SUMIFS(Transaktioner!$E$6:$E$505,Transaktioner!$C$6:$C$505,$C15,Transaktioner!$B$6:$B$505,"&gt;="&amp;DATE($C$3,3,1),Transaktioner!$B$6:$B$505,"&lt;"&amp;DATE($C$3,4,1)))</f>
        <v>0</v>
      </c>
      <c r="G15" s="21" t="n">
        <f aca="false">IF($C15="","",SUMIFS(Transaktioner!$E$6:$E$505,Transaktioner!$C$6:$C$505,$C15,Transaktioner!$B$6:$B$505,"&gt;="&amp;DATE($C$3,4,1),Transaktioner!$B$6:$B$505,"&lt;"&amp;DATE($C$3,5,1)))</f>
        <v>0</v>
      </c>
      <c r="H15" s="21" t="n">
        <f aca="false">IF($C15="","",SUMIFS(Transaktioner!$E$6:$E$505,Transaktioner!$C$6:$C$505,$C15,Transaktioner!$B$6:$B$505,"&gt;="&amp;DATE($C$3,5,1),Transaktioner!$B$6:$B$505,"&lt;"&amp;DATE($C$3,6,1)))</f>
        <v>0</v>
      </c>
      <c r="I15" s="21" t="n">
        <f aca="false">IF($C15="","",SUMIFS(Transaktioner!$E$6:$E$505,Transaktioner!$C$6:$C$505,$C15,Transaktioner!$B$6:$B$505,"&gt;="&amp;DATE($C$3,6,1),Transaktioner!$B$6:$B$505,"&lt;"&amp;DATE($C$3,7,1)))</f>
        <v>0</v>
      </c>
      <c r="J15" s="21" t="n">
        <f aca="false">IF($C15="","",SUMIFS(Transaktioner!$E$6:$E$505,Transaktioner!$C$6:$C$505,$C15,Transaktioner!$B$6:$B$505,"&gt;="&amp;DATE($C$3,7,1),Transaktioner!$B$6:$B$505,"&lt;"&amp;DATE($C$3,8,1)))</f>
        <v>0</v>
      </c>
      <c r="K15" s="21" t="n">
        <f aca="false">IF($C15="","",SUMIFS(Transaktioner!$E$6:$E$505,Transaktioner!$C$6:$C$505,$C15,Transaktioner!$B$6:$B$505,"&gt;="&amp;DATE($C$3,8,1),Transaktioner!$B$6:$B$505,"&lt;"&amp;DATE($C$3,9,1)))</f>
        <v>0</v>
      </c>
      <c r="L15" s="21" t="n">
        <f aca="false">IF($C15="","",SUMIFS(Transaktioner!$E$6:$E$505,Transaktioner!$C$6:$C$505,$C15,Transaktioner!$B$6:$B$505,"&gt;="&amp;DATE($C$3,9,1),Transaktioner!$B$6:$B$505,"&lt;"&amp;DATE($C$3,10,1)))</f>
        <v>0</v>
      </c>
      <c r="M15" s="21" t="n">
        <f aca="false">IF($C15="","",SUMIFS(Transaktioner!$E$6:$E$505,Transaktioner!$C$6:$C$505,$C15,Transaktioner!$B$6:$B$505,"&gt;="&amp;DATE($C$3,10,1),Transaktioner!$B$6:$B$505,"&lt;"&amp;DATE($C$3,11,1)))</f>
        <v>0</v>
      </c>
      <c r="N15" s="21" t="n">
        <f aca="false">IF($C15="","",SUMIFS(Transaktioner!$E$6:$E$505,Transaktioner!$C$6:$C$505,$C15,Transaktioner!$B$6:$B$505,"&gt;="&amp;DATE($C$3,11,1),Transaktioner!$B$6:$B$505,"&lt;"&amp;DATE($C$3,12,1)))</f>
        <v>0</v>
      </c>
      <c r="O15" s="21" t="n">
        <f aca="false">IF($C15="","",SUMIFS(Transaktioner!$E$6:$E$505,Transaktioner!$C$6:$C$505,$C15,Transaktioner!$B$6:$B$505,"&gt;="&amp;DATE($C$3,12,1),Transaktioner!$B$6:$B$505,"&lt;"&amp;DATE($C$3,13,1)))</f>
        <v>0</v>
      </c>
      <c r="P15" s="22" t="n">
        <f aca="false">IF($C15="","",SUM(D15:O15))</f>
        <v>0</v>
      </c>
      <c r="Q15" s="21" t="n">
        <f aca="false">IF($C15="","",Kategorier!$D$11*12)</f>
        <v>7800</v>
      </c>
      <c r="R15" s="21" t="n">
        <f aca="false">IF($C15="","",IF($B15="Inkomst",P15-Q15,Q15-P15))</f>
        <v>7800</v>
      </c>
      <c r="S15" s="23" t="n">
        <f aca="false">IF(OR($C15="",N(Q15)=0),"",P15/Q15)</f>
        <v>0</v>
      </c>
    </row>
    <row r="16" customFormat="false" ht="15" hidden="false" customHeight="false" outlineLevel="0" collapsed="false">
      <c r="B16" s="14" t="str">
        <f aca="false">IF(Kategorier!$C$12="","",Kategorier!$B$12)</f>
        <v>Utgift</v>
      </c>
      <c r="C16" s="15" t="str">
        <f aca="false">IF(Kategorier!$C$12="","",Kategorier!$C$12)</f>
        <v>Försäkringar</v>
      </c>
      <c r="D16" s="16" t="n">
        <f aca="false">IF($C16="","",SUMIFS(Transaktioner!$E$6:$E$505,Transaktioner!$C$6:$C$505,$C16,Transaktioner!$B$6:$B$505,"&gt;="&amp;DATE($C$3,1,1),Transaktioner!$B$6:$B$505,"&lt;"&amp;DATE($C$3,2,1)))</f>
        <v>0</v>
      </c>
      <c r="E16" s="16" t="n">
        <f aca="false">IF($C16="","",SUMIFS(Transaktioner!$E$6:$E$505,Transaktioner!$C$6:$C$505,$C16,Transaktioner!$B$6:$B$505,"&gt;="&amp;DATE($C$3,2,1),Transaktioner!$B$6:$B$505,"&lt;"&amp;DATE($C$3,3,1)))</f>
        <v>0</v>
      </c>
      <c r="F16" s="16" t="n">
        <f aca="false">IF($C16="","",SUMIFS(Transaktioner!$E$6:$E$505,Transaktioner!$C$6:$C$505,$C16,Transaktioner!$B$6:$B$505,"&gt;="&amp;DATE($C$3,3,1),Transaktioner!$B$6:$B$505,"&lt;"&amp;DATE($C$3,4,1)))</f>
        <v>0</v>
      </c>
      <c r="G16" s="16" t="n">
        <f aca="false">IF($C16="","",SUMIFS(Transaktioner!$E$6:$E$505,Transaktioner!$C$6:$C$505,$C16,Transaktioner!$B$6:$B$505,"&gt;="&amp;DATE($C$3,4,1),Transaktioner!$B$6:$B$505,"&lt;"&amp;DATE($C$3,5,1)))</f>
        <v>0</v>
      </c>
      <c r="H16" s="16" t="n">
        <f aca="false">IF($C16="","",SUMIFS(Transaktioner!$E$6:$E$505,Transaktioner!$C$6:$C$505,$C16,Transaktioner!$B$6:$B$505,"&gt;="&amp;DATE($C$3,5,1),Transaktioner!$B$6:$B$505,"&lt;"&amp;DATE($C$3,6,1)))</f>
        <v>0</v>
      </c>
      <c r="I16" s="16" t="n">
        <f aca="false">IF($C16="","",SUMIFS(Transaktioner!$E$6:$E$505,Transaktioner!$C$6:$C$505,$C16,Transaktioner!$B$6:$B$505,"&gt;="&amp;DATE($C$3,6,1),Transaktioner!$B$6:$B$505,"&lt;"&amp;DATE($C$3,7,1)))</f>
        <v>0</v>
      </c>
      <c r="J16" s="16" t="n">
        <f aca="false">IF($C16="","",SUMIFS(Transaktioner!$E$6:$E$505,Transaktioner!$C$6:$C$505,$C16,Transaktioner!$B$6:$B$505,"&gt;="&amp;DATE($C$3,7,1),Transaktioner!$B$6:$B$505,"&lt;"&amp;DATE($C$3,8,1)))</f>
        <v>0</v>
      </c>
      <c r="K16" s="16" t="n">
        <f aca="false">IF($C16="","",SUMIFS(Transaktioner!$E$6:$E$505,Transaktioner!$C$6:$C$505,$C16,Transaktioner!$B$6:$B$505,"&gt;="&amp;DATE($C$3,8,1),Transaktioner!$B$6:$B$505,"&lt;"&amp;DATE($C$3,9,1)))</f>
        <v>0</v>
      </c>
      <c r="L16" s="16" t="n">
        <f aca="false">IF($C16="","",SUMIFS(Transaktioner!$E$6:$E$505,Transaktioner!$C$6:$C$505,$C16,Transaktioner!$B$6:$B$505,"&gt;="&amp;DATE($C$3,9,1),Transaktioner!$B$6:$B$505,"&lt;"&amp;DATE($C$3,10,1)))</f>
        <v>0</v>
      </c>
      <c r="M16" s="16" t="n">
        <f aca="false">IF($C16="","",SUMIFS(Transaktioner!$E$6:$E$505,Transaktioner!$C$6:$C$505,$C16,Transaktioner!$B$6:$B$505,"&gt;="&amp;DATE($C$3,10,1),Transaktioner!$B$6:$B$505,"&lt;"&amp;DATE($C$3,11,1)))</f>
        <v>0</v>
      </c>
      <c r="N16" s="16" t="n">
        <f aca="false">IF($C16="","",SUMIFS(Transaktioner!$E$6:$E$505,Transaktioner!$C$6:$C$505,$C16,Transaktioner!$B$6:$B$505,"&gt;="&amp;DATE($C$3,11,1),Transaktioner!$B$6:$B$505,"&lt;"&amp;DATE($C$3,12,1)))</f>
        <v>0</v>
      </c>
      <c r="O16" s="16" t="n">
        <f aca="false">IF($C16="","",SUMIFS(Transaktioner!$E$6:$E$505,Transaktioner!$C$6:$C$505,$C16,Transaktioner!$B$6:$B$505,"&gt;="&amp;DATE($C$3,12,1),Transaktioner!$B$6:$B$505,"&lt;"&amp;DATE($C$3,13,1)))</f>
        <v>0</v>
      </c>
      <c r="P16" s="17" t="n">
        <f aca="false">IF($C16="","",SUM(D16:O16))</f>
        <v>0</v>
      </c>
      <c r="Q16" s="16" t="n">
        <f aca="false">IF($C16="","",Kategorier!$D$12*12)</f>
        <v>10800</v>
      </c>
      <c r="R16" s="16" t="n">
        <f aca="false">IF($C16="","",IF($B16="Inkomst",P16-Q16,Q16-P16))</f>
        <v>10800</v>
      </c>
      <c r="S16" s="18" t="n">
        <f aca="false">IF(OR($C16="",N(Q16)=0),"",P16/Q16)</f>
        <v>0</v>
      </c>
    </row>
    <row r="17" customFormat="false" ht="15" hidden="false" customHeight="false" outlineLevel="0" collapsed="false">
      <c r="B17" s="19" t="str">
        <f aca="false">IF(Kategorier!$C$13="","",Kategorier!$B$13)</f>
        <v>Utgift</v>
      </c>
      <c r="C17" s="20" t="str">
        <f aca="false">IF(Kategorier!$C$13="","",Kategorier!$C$13)</f>
        <v>Mat &amp; hushåll</v>
      </c>
      <c r="D17" s="21" t="n">
        <f aca="false">IF($C17="","",SUMIFS(Transaktioner!$E$6:$E$505,Transaktioner!$C$6:$C$505,$C17,Transaktioner!$B$6:$B$505,"&gt;="&amp;DATE($C$3,1,1),Transaktioner!$B$6:$B$505,"&lt;"&amp;DATE($C$3,2,1)))</f>
        <v>1240</v>
      </c>
      <c r="E17" s="21" t="n">
        <f aca="false">IF($C17="","",SUMIFS(Transaktioner!$E$6:$E$505,Transaktioner!$C$6:$C$505,$C17,Transaktioner!$B$6:$B$505,"&gt;="&amp;DATE($C$3,2,1),Transaktioner!$B$6:$B$505,"&lt;"&amp;DATE($C$3,3,1)))</f>
        <v>0</v>
      </c>
      <c r="F17" s="21" t="n">
        <f aca="false">IF($C17="","",SUMIFS(Transaktioner!$E$6:$E$505,Transaktioner!$C$6:$C$505,$C17,Transaktioner!$B$6:$B$505,"&gt;="&amp;DATE($C$3,3,1),Transaktioner!$B$6:$B$505,"&lt;"&amp;DATE($C$3,4,1)))</f>
        <v>0</v>
      </c>
      <c r="G17" s="21" t="n">
        <f aca="false">IF($C17="","",SUMIFS(Transaktioner!$E$6:$E$505,Transaktioner!$C$6:$C$505,$C17,Transaktioner!$B$6:$B$505,"&gt;="&amp;DATE($C$3,4,1),Transaktioner!$B$6:$B$505,"&lt;"&amp;DATE($C$3,5,1)))</f>
        <v>0</v>
      </c>
      <c r="H17" s="21" t="n">
        <f aca="false">IF($C17="","",SUMIFS(Transaktioner!$E$6:$E$505,Transaktioner!$C$6:$C$505,$C17,Transaktioner!$B$6:$B$505,"&gt;="&amp;DATE($C$3,5,1),Transaktioner!$B$6:$B$505,"&lt;"&amp;DATE($C$3,6,1)))</f>
        <v>0</v>
      </c>
      <c r="I17" s="21" t="n">
        <f aca="false">IF($C17="","",SUMIFS(Transaktioner!$E$6:$E$505,Transaktioner!$C$6:$C$505,$C17,Transaktioner!$B$6:$B$505,"&gt;="&amp;DATE($C$3,6,1),Transaktioner!$B$6:$B$505,"&lt;"&amp;DATE($C$3,7,1)))</f>
        <v>0</v>
      </c>
      <c r="J17" s="21" t="n">
        <f aca="false">IF($C17="","",SUMIFS(Transaktioner!$E$6:$E$505,Transaktioner!$C$6:$C$505,$C17,Transaktioner!$B$6:$B$505,"&gt;="&amp;DATE($C$3,7,1),Transaktioner!$B$6:$B$505,"&lt;"&amp;DATE($C$3,8,1)))</f>
        <v>0</v>
      </c>
      <c r="K17" s="21" t="n">
        <f aca="false">IF($C17="","",SUMIFS(Transaktioner!$E$6:$E$505,Transaktioner!$C$6:$C$505,$C17,Transaktioner!$B$6:$B$505,"&gt;="&amp;DATE($C$3,8,1),Transaktioner!$B$6:$B$505,"&lt;"&amp;DATE($C$3,9,1)))</f>
        <v>0</v>
      </c>
      <c r="L17" s="21" t="n">
        <f aca="false">IF($C17="","",SUMIFS(Transaktioner!$E$6:$E$505,Transaktioner!$C$6:$C$505,$C17,Transaktioner!$B$6:$B$505,"&gt;="&amp;DATE($C$3,9,1),Transaktioner!$B$6:$B$505,"&lt;"&amp;DATE($C$3,10,1)))</f>
        <v>0</v>
      </c>
      <c r="M17" s="21" t="n">
        <f aca="false">IF($C17="","",SUMIFS(Transaktioner!$E$6:$E$505,Transaktioner!$C$6:$C$505,$C17,Transaktioner!$B$6:$B$505,"&gt;="&amp;DATE($C$3,10,1),Transaktioner!$B$6:$B$505,"&lt;"&amp;DATE($C$3,11,1)))</f>
        <v>0</v>
      </c>
      <c r="N17" s="21" t="n">
        <f aca="false">IF($C17="","",SUMIFS(Transaktioner!$E$6:$E$505,Transaktioner!$C$6:$C$505,$C17,Transaktioner!$B$6:$B$505,"&gt;="&amp;DATE($C$3,11,1),Transaktioner!$B$6:$B$505,"&lt;"&amp;DATE($C$3,12,1)))</f>
        <v>0</v>
      </c>
      <c r="O17" s="21" t="n">
        <f aca="false">IF($C17="","",SUMIFS(Transaktioner!$E$6:$E$505,Transaktioner!$C$6:$C$505,$C17,Transaktioner!$B$6:$B$505,"&gt;="&amp;DATE($C$3,12,1),Transaktioner!$B$6:$B$505,"&lt;"&amp;DATE($C$3,13,1)))</f>
        <v>0</v>
      </c>
      <c r="P17" s="22" t="n">
        <f aca="false">IF($C17="","",SUM(D17:O17))</f>
        <v>1240</v>
      </c>
      <c r="Q17" s="21" t="n">
        <f aca="false">IF($C17="","",Kategorier!$D$13*12)</f>
        <v>90000</v>
      </c>
      <c r="R17" s="21" t="n">
        <f aca="false">IF($C17="","",IF($B17="Inkomst",P17-Q17,Q17-P17))</f>
        <v>88760</v>
      </c>
      <c r="S17" s="23" t="n">
        <f aca="false">IF(OR($C17="",N(Q17)=0),"",P17/Q17)</f>
        <v>0.0137777777777778</v>
      </c>
    </row>
    <row r="18" customFormat="false" ht="15" hidden="false" customHeight="false" outlineLevel="0" collapsed="false">
      <c r="B18" s="14" t="str">
        <f aca="false">IF(Kategorier!$C$14="","",Kategorier!$B$14)</f>
        <v>Utgift</v>
      </c>
      <c r="C18" s="15" t="str">
        <f aca="false">IF(Kategorier!$C$14="","",Kategorier!$C$14)</f>
        <v>Transport</v>
      </c>
      <c r="D18" s="16" t="n">
        <f aca="false">IF($C18="","",SUMIFS(Transaktioner!$E$6:$E$505,Transaktioner!$C$6:$C$505,$C18,Transaktioner!$B$6:$B$505,"&gt;="&amp;DATE($C$3,1,1),Transaktioner!$B$6:$B$505,"&lt;"&amp;DATE($C$3,2,1)))</f>
        <v>0</v>
      </c>
      <c r="E18" s="16" t="n">
        <f aca="false">IF($C18="","",SUMIFS(Transaktioner!$E$6:$E$505,Transaktioner!$C$6:$C$505,$C18,Transaktioner!$B$6:$B$505,"&gt;="&amp;DATE($C$3,2,1),Transaktioner!$B$6:$B$505,"&lt;"&amp;DATE($C$3,3,1)))</f>
        <v>0</v>
      </c>
      <c r="F18" s="16" t="n">
        <f aca="false">IF($C18="","",SUMIFS(Transaktioner!$E$6:$E$505,Transaktioner!$C$6:$C$505,$C18,Transaktioner!$B$6:$B$505,"&gt;="&amp;DATE($C$3,3,1),Transaktioner!$B$6:$B$505,"&lt;"&amp;DATE($C$3,4,1)))</f>
        <v>0</v>
      </c>
      <c r="G18" s="16" t="n">
        <f aca="false">IF($C18="","",SUMIFS(Transaktioner!$E$6:$E$505,Transaktioner!$C$6:$C$505,$C18,Transaktioner!$B$6:$B$505,"&gt;="&amp;DATE($C$3,4,1),Transaktioner!$B$6:$B$505,"&lt;"&amp;DATE($C$3,5,1)))</f>
        <v>0</v>
      </c>
      <c r="H18" s="16" t="n">
        <f aca="false">IF($C18="","",SUMIFS(Transaktioner!$E$6:$E$505,Transaktioner!$C$6:$C$505,$C18,Transaktioner!$B$6:$B$505,"&gt;="&amp;DATE($C$3,5,1),Transaktioner!$B$6:$B$505,"&lt;"&amp;DATE($C$3,6,1)))</f>
        <v>0</v>
      </c>
      <c r="I18" s="16" t="n">
        <f aca="false">IF($C18="","",SUMIFS(Transaktioner!$E$6:$E$505,Transaktioner!$C$6:$C$505,$C18,Transaktioner!$B$6:$B$505,"&gt;="&amp;DATE($C$3,6,1),Transaktioner!$B$6:$B$505,"&lt;"&amp;DATE($C$3,7,1)))</f>
        <v>0</v>
      </c>
      <c r="J18" s="16" t="n">
        <f aca="false">IF($C18="","",SUMIFS(Transaktioner!$E$6:$E$505,Transaktioner!$C$6:$C$505,$C18,Transaktioner!$B$6:$B$505,"&gt;="&amp;DATE($C$3,7,1),Transaktioner!$B$6:$B$505,"&lt;"&amp;DATE($C$3,8,1)))</f>
        <v>0</v>
      </c>
      <c r="K18" s="16" t="n">
        <f aca="false">IF($C18="","",SUMIFS(Transaktioner!$E$6:$E$505,Transaktioner!$C$6:$C$505,$C18,Transaktioner!$B$6:$B$505,"&gt;="&amp;DATE($C$3,8,1),Transaktioner!$B$6:$B$505,"&lt;"&amp;DATE($C$3,9,1)))</f>
        <v>0</v>
      </c>
      <c r="L18" s="16" t="n">
        <f aca="false">IF($C18="","",SUMIFS(Transaktioner!$E$6:$E$505,Transaktioner!$C$6:$C$505,$C18,Transaktioner!$B$6:$B$505,"&gt;="&amp;DATE($C$3,9,1),Transaktioner!$B$6:$B$505,"&lt;"&amp;DATE($C$3,10,1)))</f>
        <v>0</v>
      </c>
      <c r="M18" s="16" t="n">
        <f aca="false">IF($C18="","",SUMIFS(Transaktioner!$E$6:$E$505,Transaktioner!$C$6:$C$505,$C18,Transaktioner!$B$6:$B$505,"&gt;="&amp;DATE($C$3,10,1),Transaktioner!$B$6:$B$505,"&lt;"&amp;DATE($C$3,11,1)))</f>
        <v>0</v>
      </c>
      <c r="N18" s="16" t="n">
        <f aca="false">IF($C18="","",SUMIFS(Transaktioner!$E$6:$E$505,Transaktioner!$C$6:$C$505,$C18,Transaktioner!$B$6:$B$505,"&gt;="&amp;DATE($C$3,11,1),Transaktioner!$B$6:$B$505,"&lt;"&amp;DATE($C$3,12,1)))</f>
        <v>0</v>
      </c>
      <c r="O18" s="16" t="n">
        <f aca="false">IF($C18="","",SUMIFS(Transaktioner!$E$6:$E$505,Transaktioner!$C$6:$C$505,$C18,Transaktioner!$B$6:$B$505,"&gt;="&amp;DATE($C$3,12,1),Transaktioner!$B$6:$B$505,"&lt;"&amp;DATE($C$3,13,1)))</f>
        <v>0</v>
      </c>
      <c r="P18" s="17" t="n">
        <f aca="false">IF($C18="","",SUM(D18:O18))</f>
        <v>0</v>
      </c>
      <c r="Q18" s="16" t="n">
        <f aca="false">IF($C18="","",Kategorier!$D$14*12)</f>
        <v>30000</v>
      </c>
      <c r="R18" s="16" t="n">
        <f aca="false">IF($C18="","",IF($B18="Inkomst",P18-Q18,Q18-P18))</f>
        <v>30000</v>
      </c>
      <c r="S18" s="18" t="n">
        <f aca="false">IF(OR($C18="",N(Q18)=0),"",P18/Q18)</f>
        <v>0</v>
      </c>
    </row>
    <row r="19" customFormat="false" ht="15" hidden="false" customHeight="false" outlineLevel="0" collapsed="false">
      <c r="B19" s="19" t="str">
        <f aca="false">IF(Kategorier!$C$15="","",Kategorier!$B$15)</f>
        <v>Utgift</v>
      </c>
      <c r="C19" s="20" t="str">
        <f aca="false">IF(Kategorier!$C$15="","",Kategorier!$C$15)</f>
        <v>Barn</v>
      </c>
      <c r="D19" s="21" t="n">
        <f aca="false">IF($C19="","",SUMIFS(Transaktioner!$E$6:$E$505,Transaktioner!$C$6:$C$505,$C19,Transaktioner!$B$6:$B$505,"&gt;="&amp;DATE($C$3,1,1),Transaktioner!$B$6:$B$505,"&lt;"&amp;DATE($C$3,2,1)))</f>
        <v>0</v>
      </c>
      <c r="E19" s="21" t="n">
        <f aca="false">IF($C19="","",SUMIFS(Transaktioner!$E$6:$E$505,Transaktioner!$C$6:$C$505,$C19,Transaktioner!$B$6:$B$505,"&gt;="&amp;DATE($C$3,2,1),Transaktioner!$B$6:$B$505,"&lt;"&amp;DATE($C$3,3,1)))</f>
        <v>0</v>
      </c>
      <c r="F19" s="21" t="n">
        <f aca="false">IF($C19="","",SUMIFS(Transaktioner!$E$6:$E$505,Transaktioner!$C$6:$C$505,$C19,Transaktioner!$B$6:$B$505,"&gt;="&amp;DATE($C$3,3,1),Transaktioner!$B$6:$B$505,"&lt;"&amp;DATE($C$3,4,1)))</f>
        <v>0</v>
      </c>
      <c r="G19" s="21" t="n">
        <f aca="false">IF($C19="","",SUMIFS(Transaktioner!$E$6:$E$505,Transaktioner!$C$6:$C$505,$C19,Transaktioner!$B$6:$B$505,"&gt;="&amp;DATE($C$3,4,1),Transaktioner!$B$6:$B$505,"&lt;"&amp;DATE($C$3,5,1)))</f>
        <v>0</v>
      </c>
      <c r="H19" s="21" t="n">
        <f aca="false">IF($C19="","",SUMIFS(Transaktioner!$E$6:$E$505,Transaktioner!$C$6:$C$505,$C19,Transaktioner!$B$6:$B$505,"&gt;="&amp;DATE($C$3,5,1),Transaktioner!$B$6:$B$505,"&lt;"&amp;DATE($C$3,6,1)))</f>
        <v>0</v>
      </c>
      <c r="I19" s="21" t="n">
        <f aca="false">IF($C19="","",SUMIFS(Transaktioner!$E$6:$E$505,Transaktioner!$C$6:$C$505,$C19,Transaktioner!$B$6:$B$505,"&gt;="&amp;DATE($C$3,6,1),Transaktioner!$B$6:$B$505,"&lt;"&amp;DATE($C$3,7,1)))</f>
        <v>0</v>
      </c>
      <c r="J19" s="21" t="n">
        <f aca="false">IF($C19="","",SUMIFS(Transaktioner!$E$6:$E$505,Transaktioner!$C$6:$C$505,$C19,Transaktioner!$B$6:$B$505,"&gt;="&amp;DATE($C$3,7,1),Transaktioner!$B$6:$B$505,"&lt;"&amp;DATE($C$3,8,1)))</f>
        <v>0</v>
      </c>
      <c r="K19" s="21" t="n">
        <f aca="false">IF($C19="","",SUMIFS(Transaktioner!$E$6:$E$505,Transaktioner!$C$6:$C$505,$C19,Transaktioner!$B$6:$B$505,"&gt;="&amp;DATE($C$3,8,1),Transaktioner!$B$6:$B$505,"&lt;"&amp;DATE($C$3,9,1)))</f>
        <v>0</v>
      </c>
      <c r="L19" s="21" t="n">
        <f aca="false">IF($C19="","",SUMIFS(Transaktioner!$E$6:$E$505,Transaktioner!$C$6:$C$505,$C19,Transaktioner!$B$6:$B$505,"&gt;="&amp;DATE($C$3,9,1),Transaktioner!$B$6:$B$505,"&lt;"&amp;DATE($C$3,10,1)))</f>
        <v>0</v>
      </c>
      <c r="M19" s="21" t="n">
        <f aca="false">IF($C19="","",SUMIFS(Transaktioner!$E$6:$E$505,Transaktioner!$C$6:$C$505,$C19,Transaktioner!$B$6:$B$505,"&gt;="&amp;DATE($C$3,10,1),Transaktioner!$B$6:$B$505,"&lt;"&amp;DATE($C$3,11,1)))</f>
        <v>0</v>
      </c>
      <c r="N19" s="21" t="n">
        <f aca="false">IF($C19="","",SUMIFS(Transaktioner!$E$6:$E$505,Transaktioner!$C$6:$C$505,$C19,Transaktioner!$B$6:$B$505,"&gt;="&amp;DATE($C$3,11,1),Transaktioner!$B$6:$B$505,"&lt;"&amp;DATE($C$3,12,1)))</f>
        <v>0</v>
      </c>
      <c r="O19" s="21" t="n">
        <f aca="false">IF($C19="","",SUMIFS(Transaktioner!$E$6:$E$505,Transaktioner!$C$6:$C$505,$C19,Transaktioner!$B$6:$B$505,"&gt;="&amp;DATE($C$3,12,1),Transaktioner!$B$6:$B$505,"&lt;"&amp;DATE($C$3,13,1)))</f>
        <v>0</v>
      </c>
      <c r="P19" s="22" t="n">
        <f aca="false">IF($C19="","",SUM(D19:O19))</f>
        <v>0</v>
      </c>
      <c r="Q19" s="21" t="n">
        <f aca="false">IF($C19="","",Kategorier!$D$15*12)</f>
        <v>18000</v>
      </c>
      <c r="R19" s="21" t="n">
        <f aca="false">IF($C19="","",IF($B19="Inkomst",P19-Q19,Q19-P19))</f>
        <v>18000</v>
      </c>
      <c r="S19" s="23" t="n">
        <f aca="false">IF(OR($C19="",N(Q19)=0),"",P19/Q19)</f>
        <v>0</v>
      </c>
    </row>
    <row r="20" customFormat="false" ht="15" hidden="false" customHeight="false" outlineLevel="0" collapsed="false">
      <c r="B20" s="14" t="str">
        <f aca="false">IF(Kategorier!$C$16="","",Kategorier!$B$16)</f>
        <v>Utgift</v>
      </c>
      <c r="C20" s="15" t="str">
        <f aca="false">IF(Kategorier!$C$16="","",Kategorier!$C$16)</f>
        <v>Hälsa &amp; träning</v>
      </c>
      <c r="D20" s="16" t="n">
        <f aca="false">IF($C20="","",SUMIFS(Transaktioner!$E$6:$E$505,Transaktioner!$C$6:$C$505,$C20,Transaktioner!$B$6:$B$505,"&gt;="&amp;DATE($C$3,1,1),Transaktioner!$B$6:$B$505,"&lt;"&amp;DATE($C$3,2,1)))</f>
        <v>0</v>
      </c>
      <c r="E20" s="16" t="n">
        <f aca="false">IF($C20="","",SUMIFS(Transaktioner!$E$6:$E$505,Transaktioner!$C$6:$C$505,$C20,Transaktioner!$B$6:$B$505,"&gt;="&amp;DATE($C$3,2,1),Transaktioner!$B$6:$B$505,"&lt;"&amp;DATE($C$3,3,1)))</f>
        <v>0</v>
      </c>
      <c r="F20" s="16" t="n">
        <f aca="false">IF($C20="","",SUMIFS(Transaktioner!$E$6:$E$505,Transaktioner!$C$6:$C$505,$C20,Transaktioner!$B$6:$B$505,"&gt;="&amp;DATE($C$3,3,1),Transaktioner!$B$6:$B$505,"&lt;"&amp;DATE($C$3,4,1)))</f>
        <v>0</v>
      </c>
      <c r="G20" s="16" t="n">
        <f aca="false">IF($C20="","",SUMIFS(Transaktioner!$E$6:$E$505,Transaktioner!$C$6:$C$505,$C20,Transaktioner!$B$6:$B$505,"&gt;="&amp;DATE($C$3,4,1),Transaktioner!$B$6:$B$505,"&lt;"&amp;DATE($C$3,5,1)))</f>
        <v>0</v>
      </c>
      <c r="H20" s="16" t="n">
        <f aca="false">IF($C20="","",SUMIFS(Transaktioner!$E$6:$E$505,Transaktioner!$C$6:$C$505,$C20,Transaktioner!$B$6:$B$505,"&gt;="&amp;DATE($C$3,5,1),Transaktioner!$B$6:$B$505,"&lt;"&amp;DATE($C$3,6,1)))</f>
        <v>0</v>
      </c>
      <c r="I20" s="16" t="n">
        <f aca="false">IF($C20="","",SUMIFS(Transaktioner!$E$6:$E$505,Transaktioner!$C$6:$C$505,$C20,Transaktioner!$B$6:$B$505,"&gt;="&amp;DATE($C$3,6,1),Transaktioner!$B$6:$B$505,"&lt;"&amp;DATE($C$3,7,1)))</f>
        <v>0</v>
      </c>
      <c r="J20" s="16" t="n">
        <f aca="false">IF($C20="","",SUMIFS(Transaktioner!$E$6:$E$505,Transaktioner!$C$6:$C$505,$C20,Transaktioner!$B$6:$B$505,"&gt;="&amp;DATE($C$3,7,1),Transaktioner!$B$6:$B$505,"&lt;"&amp;DATE($C$3,8,1)))</f>
        <v>0</v>
      </c>
      <c r="K20" s="16" t="n">
        <f aca="false">IF($C20="","",SUMIFS(Transaktioner!$E$6:$E$505,Transaktioner!$C$6:$C$505,$C20,Transaktioner!$B$6:$B$505,"&gt;="&amp;DATE($C$3,8,1),Transaktioner!$B$6:$B$505,"&lt;"&amp;DATE($C$3,9,1)))</f>
        <v>0</v>
      </c>
      <c r="L20" s="16" t="n">
        <f aca="false">IF($C20="","",SUMIFS(Transaktioner!$E$6:$E$505,Transaktioner!$C$6:$C$505,$C20,Transaktioner!$B$6:$B$505,"&gt;="&amp;DATE($C$3,9,1),Transaktioner!$B$6:$B$505,"&lt;"&amp;DATE($C$3,10,1)))</f>
        <v>0</v>
      </c>
      <c r="M20" s="16" t="n">
        <f aca="false">IF($C20="","",SUMIFS(Transaktioner!$E$6:$E$505,Transaktioner!$C$6:$C$505,$C20,Transaktioner!$B$6:$B$505,"&gt;="&amp;DATE($C$3,10,1),Transaktioner!$B$6:$B$505,"&lt;"&amp;DATE($C$3,11,1)))</f>
        <v>0</v>
      </c>
      <c r="N20" s="16" t="n">
        <f aca="false">IF($C20="","",SUMIFS(Transaktioner!$E$6:$E$505,Transaktioner!$C$6:$C$505,$C20,Transaktioner!$B$6:$B$505,"&gt;="&amp;DATE($C$3,11,1),Transaktioner!$B$6:$B$505,"&lt;"&amp;DATE($C$3,12,1)))</f>
        <v>0</v>
      </c>
      <c r="O20" s="16" t="n">
        <f aca="false">IF($C20="","",SUMIFS(Transaktioner!$E$6:$E$505,Transaktioner!$C$6:$C$505,$C20,Transaktioner!$B$6:$B$505,"&gt;="&amp;DATE($C$3,12,1),Transaktioner!$B$6:$B$505,"&lt;"&amp;DATE($C$3,13,1)))</f>
        <v>0</v>
      </c>
      <c r="P20" s="17" t="n">
        <f aca="false">IF($C20="","",SUM(D20:O20))</f>
        <v>0</v>
      </c>
      <c r="Q20" s="16" t="n">
        <f aca="false">IF($C20="","",Kategorier!$D$16*12)</f>
        <v>7200</v>
      </c>
      <c r="R20" s="16" t="n">
        <f aca="false">IF($C20="","",IF($B20="Inkomst",P20-Q20,Q20-P20))</f>
        <v>7200</v>
      </c>
      <c r="S20" s="18" t="n">
        <f aca="false">IF(OR($C20="",N(Q20)=0),"",P20/Q20)</f>
        <v>0</v>
      </c>
    </row>
    <row r="21" customFormat="false" ht="15" hidden="false" customHeight="false" outlineLevel="0" collapsed="false">
      <c r="B21" s="19" t="str">
        <f aca="false">IF(Kategorier!$C$17="","",Kategorier!$B$17)</f>
        <v>Utgift</v>
      </c>
      <c r="C21" s="20" t="str">
        <f aca="false">IF(Kategorier!$C$17="","",Kategorier!$C$17)</f>
        <v>Nöje &amp; restaurang</v>
      </c>
      <c r="D21" s="21" t="n">
        <f aca="false">IF($C21="","",SUMIFS(Transaktioner!$E$6:$E$505,Transaktioner!$C$6:$C$505,$C21,Transaktioner!$B$6:$B$505,"&gt;="&amp;DATE($C$3,1,1),Transaktioner!$B$6:$B$505,"&lt;"&amp;DATE($C$3,2,1)))</f>
        <v>0</v>
      </c>
      <c r="E21" s="21" t="n">
        <f aca="false">IF($C21="","",SUMIFS(Transaktioner!$E$6:$E$505,Transaktioner!$C$6:$C$505,$C21,Transaktioner!$B$6:$B$505,"&gt;="&amp;DATE($C$3,2,1),Transaktioner!$B$6:$B$505,"&lt;"&amp;DATE($C$3,3,1)))</f>
        <v>0</v>
      </c>
      <c r="F21" s="21" t="n">
        <f aca="false">IF($C21="","",SUMIFS(Transaktioner!$E$6:$E$505,Transaktioner!$C$6:$C$505,$C21,Transaktioner!$B$6:$B$505,"&gt;="&amp;DATE($C$3,3,1),Transaktioner!$B$6:$B$505,"&lt;"&amp;DATE($C$3,4,1)))</f>
        <v>0</v>
      </c>
      <c r="G21" s="21" t="n">
        <f aca="false">IF($C21="","",SUMIFS(Transaktioner!$E$6:$E$505,Transaktioner!$C$6:$C$505,$C21,Transaktioner!$B$6:$B$505,"&gt;="&amp;DATE($C$3,4,1),Transaktioner!$B$6:$B$505,"&lt;"&amp;DATE($C$3,5,1)))</f>
        <v>0</v>
      </c>
      <c r="H21" s="21" t="n">
        <f aca="false">IF($C21="","",SUMIFS(Transaktioner!$E$6:$E$505,Transaktioner!$C$6:$C$505,$C21,Transaktioner!$B$6:$B$505,"&gt;="&amp;DATE($C$3,5,1),Transaktioner!$B$6:$B$505,"&lt;"&amp;DATE($C$3,6,1)))</f>
        <v>0</v>
      </c>
      <c r="I21" s="21" t="n">
        <f aca="false">IF($C21="","",SUMIFS(Transaktioner!$E$6:$E$505,Transaktioner!$C$6:$C$505,$C21,Transaktioner!$B$6:$B$505,"&gt;="&amp;DATE($C$3,6,1),Transaktioner!$B$6:$B$505,"&lt;"&amp;DATE($C$3,7,1)))</f>
        <v>0</v>
      </c>
      <c r="J21" s="21" t="n">
        <f aca="false">IF($C21="","",SUMIFS(Transaktioner!$E$6:$E$505,Transaktioner!$C$6:$C$505,$C21,Transaktioner!$B$6:$B$505,"&gt;="&amp;DATE($C$3,7,1),Transaktioner!$B$6:$B$505,"&lt;"&amp;DATE($C$3,8,1)))</f>
        <v>0</v>
      </c>
      <c r="K21" s="21" t="n">
        <f aca="false">IF($C21="","",SUMIFS(Transaktioner!$E$6:$E$505,Transaktioner!$C$6:$C$505,$C21,Transaktioner!$B$6:$B$505,"&gt;="&amp;DATE($C$3,8,1),Transaktioner!$B$6:$B$505,"&lt;"&amp;DATE($C$3,9,1)))</f>
        <v>0</v>
      </c>
      <c r="L21" s="21" t="n">
        <f aca="false">IF($C21="","",SUMIFS(Transaktioner!$E$6:$E$505,Transaktioner!$C$6:$C$505,$C21,Transaktioner!$B$6:$B$505,"&gt;="&amp;DATE($C$3,9,1),Transaktioner!$B$6:$B$505,"&lt;"&amp;DATE($C$3,10,1)))</f>
        <v>0</v>
      </c>
      <c r="M21" s="21" t="n">
        <f aca="false">IF($C21="","",SUMIFS(Transaktioner!$E$6:$E$505,Transaktioner!$C$6:$C$505,$C21,Transaktioner!$B$6:$B$505,"&gt;="&amp;DATE($C$3,10,1),Transaktioner!$B$6:$B$505,"&lt;"&amp;DATE($C$3,11,1)))</f>
        <v>0</v>
      </c>
      <c r="N21" s="21" t="n">
        <f aca="false">IF($C21="","",SUMIFS(Transaktioner!$E$6:$E$505,Transaktioner!$C$6:$C$505,$C21,Transaktioner!$B$6:$B$505,"&gt;="&amp;DATE($C$3,11,1),Transaktioner!$B$6:$B$505,"&lt;"&amp;DATE($C$3,12,1)))</f>
        <v>0</v>
      </c>
      <c r="O21" s="21" t="n">
        <f aca="false">IF($C21="","",SUMIFS(Transaktioner!$E$6:$E$505,Transaktioner!$C$6:$C$505,$C21,Transaktioner!$B$6:$B$505,"&gt;="&amp;DATE($C$3,12,1),Transaktioner!$B$6:$B$505,"&lt;"&amp;DATE($C$3,13,1)))</f>
        <v>0</v>
      </c>
      <c r="P21" s="22" t="n">
        <f aca="false">IF($C21="","",SUM(D21:O21))</f>
        <v>0</v>
      </c>
      <c r="Q21" s="21" t="n">
        <f aca="false">IF($C21="","",Kategorier!$D$17*12)</f>
        <v>24000</v>
      </c>
      <c r="R21" s="21" t="n">
        <f aca="false">IF($C21="","",IF($B21="Inkomst",P21-Q21,Q21-P21))</f>
        <v>24000</v>
      </c>
      <c r="S21" s="23" t="n">
        <f aca="false">IF(OR($C21="",N(Q21)=0),"",P21/Q21)</f>
        <v>0</v>
      </c>
    </row>
    <row r="22" customFormat="false" ht="15" hidden="false" customHeight="false" outlineLevel="0" collapsed="false">
      <c r="B22" s="14" t="str">
        <f aca="false">IF(Kategorier!$C$18="","",Kategorier!$B$18)</f>
        <v>Utgift</v>
      </c>
      <c r="C22" s="15" t="str">
        <f aca="false">IF(Kategorier!$C$18="","",Kategorier!$C$18)</f>
        <v>Kläder</v>
      </c>
      <c r="D22" s="16" t="n">
        <f aca="false">IF($C22="","",SUMIFS(Transaktioner!$E$6:$E$505,Transaktioner!$C$6:$C$505,$C22,Transaktioner!$B$6:$B$505,"&gt;="&amp;DATE($C$3,1,1),Transaktioner!$B$6:$B$505,"&lt;"&amp;DATE($C$3,2,1)))</f>
        <v>0</v>
      </c>
      <c r="E22" s="16" t="n">
        <f aca="false">IF($C22="","",SUMIFS(Transaktioner!$E$6:$E$505,Transaktioner!$C$6:$C$505,$C22,Transaktioner!$B$6:$B$505,"&gt;="&amp;DATE($C$3,2,1),Transaktioner!$B$6:$B$505,"&lt;"&amp;DATE($C$3,3,1)))</f>
        <v>0</v>
      </c>
      <c r="F22" s="16" t="n">
        <f aca="false">IF($C22="","",SUMIFS(Transaktioner!$E$6:$E$505,Transaktioner!$C$6:$C$505,$C22,Transaktioner!$B$6:$B$505,"&gt;="&amp;DATE($C$3,3,1),Transaktioner!$B$6:$B$505,"&lt;"&amp;DATE($C$3,4,1)))</f>
        <v>0</v>
      </c>
      <c r="G22" s="16" t="n">
        <f aca="false">IF($C22="","",SUMIFS(Transaktioner!$E$6:$E$505,Transaktioner!$C$6:$C$505,$C22,Transaktioner!$B$6:$B$505,"&gt;="&amp;DATE($C$3,4,1),Transaktioner!$B$6:$B$505,"&lt;"&amp;DATE($C$3,5,1)))</f>
        <v>0</v>
      </c>
      <c r="H22" s="16" t="n">
        <f aca="false">IF($C22="","",SUMIFS(Transaktioner!$E$6:$E$505,Transaktioner!$C$6:$C$505,$C22,Transaktioner!$B$6:$B$505,"&gt;="&amp;DATE($C$3,5,1),Transaktioner!$B$6:$B$505,"&lt;"&amp;DATE($C$3,6,1)))</f>
        <v>0</v>
      </c>
      <c r="I22" s="16" t="n">
        <f aca="false">IF($C22="","",SUMIFS(Transaktioner!$E$6:$E$505,Transaktioner!$C$6:$C$505,$C22,Transaktioner!$B$6:$B$505,"&gt;="&amp;DATE($C$3,6,1),Transaktioner!$B$6:$B$505,"&lt;"&amp;DATE($C$3,7,1)))</f>
        <v>0</v>
      </c>
      <c r="J22" s="16" t="n">
        <f aca="false">IF($C22="","",SUMIFS(Transaktioner!$E$6:$E$505,Transaktioner!$C$6:$C$505,$C22,Transaktioner!$B$6:$B$505,"&gt;="&amp;DATE($C$3,7,1),Transaktioner!$B$6:$B$505,"&lt;"&amp;DATE($C$3,8,1)))</f>
        <v>0</v>
      </c>
      <c r="K22" s="16" t="n">
        <f aca="false">IF($C22="","",SUMIFS(Transaktioner!$E$6:$E$505,Transaktioner!$C$6:$C$505,$C22,Transaktioner!$B$6:$B$505,"&gt;="&amp;DATE($C$3,8,1),Transaktioner!$B$6:$B$505,"&lt;"&amp;DATE($C$3,9,1)))</f>
        <v>0</v>
      </c>
      <c r="L22" s="16" t="n">
        <f aca="false">IF($C22="","",SUMIFS(Transaktioner!$E$6:$E$505,Transaktioner!$C$6:$C$505,$C22,Transaktioner!$B$6:$B$505,"&gt;="&amp;DATE($C$3,9,1),Transaktioner!$B$6:$B$505,"&lt;"&amp;DATE($C$3,10,1)))</f>
        <v>0</v>
      </c>
      <c r="M22" s="16" t="n">
        <f aca="false">IF($C22="","",SUMIFS(Transaktioner!$E$6:$E$505,Transaktioner!$C$6:$C$505,$C22,Transaktioner!$B$6:$B$505,"&gt;="&amp;DATE($C$3,10,1),Transaktioner!$B$6:$B$505,"&lt;"&amp;DATE($C$3,11,1)))</f>
        <v>0</v>
      </c>
      <c r="N22" s="16" t="n">
        <f aca="false">IF($C22="","",SUMIFS(Transaktioner!$E$6:$E$505,Transaktioner!$C$6:$C$505,$C22,Transaktioner!$B$6:$B$505,"&gt;="&amp;DATE($C$3,11,1),Transaktioner!$B$6:$B$505,"&lt;"&amp;DATE($C$3,12,1)))</f>
        <v>0</v>
      </c>
      <c r="O22" s="16" t="n">
        <f aca="false">IF($C22="","",SUMIFS(Transaktioner!$E$6:$E$505,Transaktioner!$C$6:$C$505,$C22,Transaktioner!$B$6:$B$505,"&gt;="&amp;DATE($C$3,12,1),Transaktioner!$B$6:$B$505,"&lt;"&amp;DATE($C$3,13,1)))</f>
        <v>0</v>
      </c>
      <c r="P22" s="17" t="n">
        <f aca="false">IF($C22="","",SUM(D22:O22))</f>
        <v>0</v>
      </c>
      <c r="Q22" s="16" t="n">
        <f aca="false">IF($C22="","",Kategorier!$D$18*12)</f>
        <v>12000</v>
      </c>
      <c r="R22" s="16" t="n">
        <f aca="false">IF($C22="","",IF($B22="Inkomst",P22-Q22,Q22-P22))</f>
        <v>12000</v>
      </c>
      <c r="S22" s="18" t="n">
        <f aca="false">IF(OR($C22="",N(Q22)=0),"",P22/Q22)</f>
        <v>0</v>
      </c>
    </row>
    <row r="23" customFormat="false" ht="15" hidden="false" customHeight="false" outlineLevel="0" collapsed="false">
      <c r="B23" s="19" t="str">
        <f aca="false">IF(Kategorier!$C$19="","",Kategorier!$B$19)</f>
        <v>Utgift</v>
      </c>
      <c r="C23" s="20" t="str">
        <f aca="false">IF(Kategorier!$C$19="","",Kategorier!$C$19)</f>
        <v>Prenumerationer</v>
      </c>
      <c r="D23" s="21" t="n">
        <f aca="false">IF($C23="","",SUMIFS(Transaktioner!$E$6:$E$505,Transaktioner!$C$6:$C$505,$C23,Transaktioner!$B$6:$B$505,"&gt;="&amp;DATE($C$3,1,1),Transaktioner!$B$6:$B$505,"&lt;"&amp;DATE($C$3,2,1)))</f>
        <v>0</v>
      </c>
      <c r="E23" s="21" t="n">
        <f aca="false">IF($C23="","",SUMIFS(Transaktioner!$E$6:$E$505,Transaktioner!$C$6:$C$505,$C23,Transaktioner!$B$6:$B$505,"&gt;="&amp;DATE($C$3,2,1),Transaktioner!$B$6:$B$505,"&lt;"&amp;DATE($C$3,3,1)))</f>
        <v>0</v>
      </c>
      <c r="F23" s="21" t="n">
        <f aca="false">IF($C23="","",SUMIFS(Transaktioner!$E$6:$E$505,Transaktioner!$C$6:$C$505,$C23,Transaktioner!$B$6:$B$505,"&gt;="&amp;DATE($C$3,3,1),Transaktioner!$B$6:$B$505,"&lt;"&amp;DATE($C$3,4,1)))</f>
        <v>0</v>
      </c>
      <c r="G23" s="21" t="n">
        <f aca="false">IF($C23="","",SUMIFS(Transaktioner!$E$6:$E$505,Transaktioner!$C$6:$C$505,$C23,Transaktioner!$B$6:$B$505,"&gt;="&amp;DATE($C$3,4,1),Transaktioner!$B$6:$B$505,"&lt;"&amp;DATE($C$3,5,1)))</f>
        <v>0</v>
      </c>
      <c r="H23" s="21" t="n">
        <f aca="false">IF($C23="","",SUMIFS(Transaktioner!$E$6:$E$505,Transaktioner!$C$6:$C$505,$C23,Transaktioner!$B$6:$B$505,"&gt;="&amp;DATE($C$3,5,1),Transaktioner!$B$6:$B$505,"&lt;"&amp;DATE($C$3,6,1)))</f>
        <v>0</v>
      </c>
      <c r="I23" s="21" t="n">
        <f aca="false">IF($C23="","",SUMIFS(Transaktioner!$E$6:$E$505,Transaktioner!$C$6:$C$505,$C23,Transaktioner!$B$6:$B$505,"&gt;="&amp;DATE($C$3,6,1),Transaktioner!$B$6:$B$505,"&lt;"&amp;DATE($C$3,7,1)))</f>
        <v>0</v>
      </c>
      <c r="J23" s="21" t="n">
        <f aca="false">IF($C23="","",SUMIFS(Transaktioner!$E$6:$E$505,Transaktioner!$C$6:$C$505,$C23,Transaktioner!$B$6:$B$505,"&gt;="&amp;DATE($C$3,7,1),Transaktioner!$B$6:$B$505,"&lt;"&amp;DATE($C$3,8,1)))</f>
        <v>0</v>
      </c>
      <c r="K23" s="21" t="n">
        <f aca="false">IF($C23="","",SUMIFS(Transaktioner!$E$6:$E$505,Transaktioner!$C$6:$C$505,$C23,Transaktioner!$B$6:$B$505,"&gt;="&amp;DATE($C$3,8,1),Transaktioner!$B$6:$B$505,"&lt;"&amp;DATE($C$3,9,1)))</f>
        <v>0</v>
      </c>
      <c r="L23" s="21" t="n">
        <f aca="false">IF($C23="","",SUMIFS(Transaktioner!$E$6:$E$505,Transaktioner!$C$6:$C$505,$C23,Transaktioner!$B$6:$B$505,"&gt;="&amp;DATE($C$3,9,1),Transaktioner!$B$6:$B$505,"&lt;"&amp;DATE($C$3,10,1)))</f>
        <v>0</v>
      </c>
      <c r="M23" s="21" t="n">
        <f aca="false">IF($C23="","",SUMIFS(Transaktioner!$E$6:$E$505,Transaktioner!$C$6:$C$505,$C23,Transaktioner!$B$6:$B$505,"&gt;="&amp;DATE($C$3,10,1),Transaktioner!$B$6:$B$505,"&lt;"&amp;DATE($C$3,11,1)))</f>
        <v>0</v>
      </c>
      <c r="N23" s="21" t="n">
        <f aca="false">IF($C23="","",SUMIFS(Transaktioner!$E$6:$E$505,Transaktioner!$C$6:$C$505,$C23,Transaktioner!$B$6:$B$505,"&gt;="&amp;DATE($C$3,11,1),Transaktioner!$B$6:$B$505,"&lt;"&amp;DATE($C$3,12,1)))</f>
        <v>0</v>
      </c>
      <c r="O23" s="21" t="n">
        <f aca="false">IF($C23="","",SUMIFS(Transaktioner!$E$6:$E$505,Transaktioner!$C$6:$C$505,$C23,Transaktioner!$B$6:$B$505,"&gt;="&amp;DATE($C$3,12,1),Transaktioner!$B$6:$B$505,"&lt;"&amp;DATE($C$3,13,1)))</f>
        <v>0</v>
      </c>
      <c r="P23" s="22" t="n">
        <f aca="false">IF($C23="","",SUM(D23:O23))</f>
        <v>0</v>
      </c>
      <c r="Q23" s="21" t="n">
        <f aca="false">IF($C23="","",Kategorier!$D$19*12)</f>
        <v>4800</v>
      </c>
      <c r="R23" s="21" t="n">
        <f aca="false">IF($C23="","",IF($B23="Inkomst",P23-Q23,Q23-P23))</f>
        <v>4800</v>
      </c>
      <c r="S23" s="23" t="n">
        <f aca="false">IF(OR($C23="",N(Q23)=0),"",P23/Q23)</f>
        <v>0</v>
      </c>
    </row>
    <row r="24" customFormat="false" ht="15" hidden="false" customHeight="false" outlineLevel="0" collapsed="false">
      <c r="B24" s="14" t="str">
        <f aca="false">IF(Kategorier!$C$20="","",Kategorier!$B$20)</f>
        <v>Utgift</v>
      </c>
      <c r="C24" s="15" t="str">
        <f aca="false">IF(Kategorier!$C$20="","",Kategorier!$C$20)</f>
        <v>Övrigt</v>
      </c>
      <c r="D24" s="16" t="n">
        <f aca="false">IF($C24="","",SUMIFS(Transaktioner!$E$6:$E$505,Transaktioner!$C$6:$C$505,$C24,Transaktioner!$B$6:$B$505,"&gt;="&amp;DATE($C$3,1,1),Transaktioner!$B$6:$B$505,"&lt;"&amp;DATE($C$3,2,1)))</f>
        <v>0</v>
      </c>
      <c r="E24" s="16" t="n">
        <f aca="false">IF($C24="","",SUMIFS(Transaktioner!$E$6:$E$505,Transaktioner!$C$6:$C$505,$C24,Transaktioner!$B$6:$B$505,"&gt;="&amp;DATE($C$3,2,1),Transaktioner!$B$6:$B$505,"&lt;"&amp;DATE($C$3,3,1)))</f>
        <v>0</v>
      </c>
      <c r="F24" s="16" t="n">
        <f aca="false">IF($C24="","",SUMIFS(Transaktioner!$E$6:$E$505,Transaktioner!$C$6:$C$505,$C24,Transaktioner!$B$6:$B$505,"&gt;="&amp;DATE($C$3,3,1),Transaktioner!$B$6:$B$505,"&lt;"&amp;DATE($C$3,4,1)))</f>
        <v>0</v>
      </c>
      <c r="G24" s="16" t="n">
        <f aca="false">IF($C24="","",SUMIFS(Transaktioner!$E$6:$E$505,Transaktioner!$C$6:$C$505,$C24,Transaktioner!$B$6:$B$505,"&gt;="&amp;DATE($C$3,4,1),Transaktioner!$B$6:$B$505,"&lt;"&amp;DATE($C$3,5,1)))</f>
        <v>0</v>
      </c>
      <c r="H24" s="16" t="n">
        <f aca="false">IF($C24="","",SUMIFS(Transaktioner!$E$6:$E$505,Transaktioner!$C$6:$C$505,$C24,Transaktioner!$B$6:$B$505,"&gt;="&amp;DATE($C$3,5,1),Transaktioner!$B$6:$B$505,"&lt;"&amp;DATE($C$3,6,1)))</f>
        <v>0</v>
      </c>
      <c r="I24" s="16" t="n">
        <f aca="false">IF($C24="","",SUMIFS(Transaktioner!$E$6:$E$505,Transaktioner!$C$6:$C$505,$C24,Transaktioner!$B$6:$B$505,"&gt;="&amp;DATE($C$3,6,1),Transaktioner!$B$6:$B$505,"&lt;"&amp;DATE($C$3,7,1)))</f>
        <v>0</v>
      </c>
      <c r="J24" s="16" t="n">
        <f aca="false">IF($C24="","",SUMIFS(Transaktioner!$E$6:$E$505,Transaktioner!$C$6:$C$505,$C24,Transaktioner!$B$6:$B$505,"&gt;="&amp;DATE($C$3,7,1),Transaktioner!$B$6:$B$505,"&lt;"&amp;DATE($C$3,8,1)))</f>
        <v>0</v>
      </c>
      <c r="K24" s="16" t="n">
        <f aca="false">IF($C24="","",SUMIFS(Transaktioner!$E$6:$E$505,Transaktioner!$C$6:$C$505,$C24,Transaktioner!$B$6:$B$505,"&gt;="&amp;DATE($C$3,8,1),Transaktioner!$B$6:$B$505,"&lt;"&amp;DATE($C$3,9,1)))</f>
        <v>0</v>
      </c>
      <c r="L24" s="16" t="n">
        <f aca="false">IF($C24="","",SUMIFS(Transaktioner!$E$6:$E$505,Transaktioner!$C$6:$C$505,$C24,Transaktioner!$B$6:$B$505,"&gt;="&amp;DATE($C$3,9,1),Transaktioner!$B$6:$B$505,"&lt;"&amp;DATE($C$3,10,1)))</f>
        <v>0</v>
      </c>
      <c r="M24" s="16" t="n">
        <f aca="false">IF($C24="","",SUMIFS(Transaktioner!$E$6:$E$505,Transaktioner!$C$6:$C$505,$C24,Transaktioner!$B$6:$B$505,"&gt;="&amp;DATE($C$3,10,1),Transaktioner!$B$6:$B$505,"&lt;"&amp;DATE($C$3,11,1)))</f>
        <v>0</v>
      </c>
      <c r="N24" s="16" t="n">
        <f aca="false">IF($C24="","",SUMIFS(Transaktioner!$E$6:$E$505,Transaktioner!$C$6:$C$505,$C24,Transaktioner!$B$6:$B$505,"&gt;="&amp;DATE($C$3,11,1),Transaktioner!$B$6:$B$505,"&lt;"&amp;DATE($C$3,12,1)))</f>
        <v>0</v>
      </c>
      <c r="O24" s="16" t="n">
        <f aca="false">IF($C24="","",SUMIFS(Transaktioner!$E$6:$E$505,Transaktioner!$C$6:$C$505,$C24,Transaktioner!$B$6:$B$505,"&gt;="&amp;DATE($C$3,12,1),Transaktioner!$B$6:$B$505,"&lt;"&amp;DATE($C$3,13,1)))</f>
        <v>0</v>
      </c>
      <c r="P24" s="17" t="n">
        <f aca="false">IF($C24="","",SUM(D24:O24))</f>
        <v>0</v>
      </c>
      <c r="Q24" s="16" t="n">
        <f aca="false">IF($C24="","",Kategorier!$D$20*12)</f>
        <v>12000</v>
      </c>
      <c r="R24" s="16" t="n">
        <f aca="false">IF($C24="","",IF($B24="Inkomst",P24-Q24,Q24-P24))</f>
        <v>12000</v>
      </c>
      <c r="S24" s="18" t="n">
        <f aca="false">IF(OR($C24="",N(Q24)=0),"",P24/Q24)</f>
        <v>0</v>
      </c>
    </row>
    <row r="25" customFormat="false" ht="15" hidden="false" customHeight="false" outlineLevel="0" collapsed="false">
      <c r="B25" s="19" t="str">
        <f aca="false">IF(Kategorier!$C$21="","",Kategorier!$B$21)</f>
        <v>Sparande</v>
      </c>
      <c r="C25" s="20" t="str">
        <f aca="false">IF(Kategorier!$C$21="","",Kategorier!$C$21)</f>
        <v>Buffert</v>
      </c>
      <c r="D25" s="21" t="n">
        <f aca="false">IF($C25="","",SUMIFS(Transaktioner!$E$6:$E$505,Transaktioner!$C$6:$C$505,$C25,Transaktioner!$B$6:$B$505,"&gt;="&amp;DATE($C$3,1,1),Transaktioner!$B$6:$B$505,"&lt;"&amp;DATE($C$3,2,1)))</f>
        <v>3000</v>
      </c>
      <c r="E25" s="21" t="n">
        <f aca="false">IF($C25="","",SUMIFS(Transaktioner!$E$6:$E$505,Transaktioner!$C$6:$C$505,$C25,Transaktioner!$B$6:$B$505,"&gt;="&amp;DATE($C$3,2,1),Transaktioner!$B$6:$B$505,"&lt;"&amp;DATE($C$3,3,1)))</f>
        <v>0</v>
      </c>
      <c r="F25" s="21" t="n">
        <f aca="false">IF($C25="","",SUMIFS(Transaktioner!$E$6:$E$505,Transaktioner!$C$6:$C$505,$C25,Transaktioner!$B$6:$B$505,"&gt;="&amp;DATE($C$3,3,1),Transaktioner!$B$6:$B$505,"&lt;"&amp;DATE($C$3,4,1)))</f>
        <v>0</v>
      </c>
      <c r="G25" s="21" t="n">
        <f aca="false">IF($C25="","",SUMIFS(Transaktioner!$E$6:$E$505,Transaktioner!$C$6:$C$505,$C25,Transaktioner!$B$6:$B$505,"&gt;="&amp;DATE($C$3,4,1),Transaktioner!$B$6:$B$505,"&lt;"&amp;DATE($C$3,5,1)))</f>
        <v>0</v>
      </c>
      <c r="H25" s="21" t="n">
        <f aca="false">IF($C25="","",SUMIFS(Transaktioner!$E$6:$E$505,Transaktioner!$C$6:$C$505,$C25,Transaktioner!$B$6:$B$505,"&gt;="&amp;DATE($C$3,5,1),Transaktioner!$B$6:$B$505,"&lt;"&amp;DATE($C$3,6,1)))</f>
        <v>0</v>
      </c>
      <c r="I25" s="21" t="n">
        <f aca="false">IF($C25="","",SUMIFS(Transaktioner!$E$6:$E$505,Transaktioner!$C$6:$C$505,$C25,Transaktioner!$B$6:$B$505,"&gt;="&amp;DATE($C$3,6,1),Transaktioner!$B$6:$B$505,"&lt;"&amp;DATE($C$3,7,1)))</f>
        <v>0</v>
      </c>
      <c r="J25" s="21" t="n">
        <f aca="false">IF($C25="","",SUMIFS(Transaktioner!$E$6:$E$505,Transaktioner!$C$6:$C$505,$C25,Transaktioner!$B$6:$B$505,"&gt;="&amp;DATE($C$3,7,1),Transaktioner!$B$6:$B$505,"&lt;"&amp;DATE($C$3,8,1)))</f>
        <v>0</v>
      </c>
      <c r="K25" s="21" t="n">
        <f aca="false">IF($C25="","",SUMIFS(Transaktioner!$E$6:$E$505,Transaktioner!$C$6:$C$505,$C25,Transaktioner!$B$6:$B$505,"&gt;="&amp;DATE($C$3,8,1),Transaktioner!$B$6:$B$505,"&lt;"&amp;DATE($C$3,9,1)))</f>
        <v>0</v>
      </c>
      <c r="L25" s="21" t="n">
        <f aca="false">IF($C25="","",SUMIFS(Transaktioner!$E$6:$E$505,Transaktioner!$C$6:$C$505,$C25,Transaktioner!$B$6:$B$505,"&gt;="&amp;DATE($C$3,9,1),Transaktioner!$B$6:$B$505,"&lt;"&amp;DATE($C$3,10,1)))</f>
        <v>0</v>
      </c>
      <c r="M25" s="21" t="n">
        <f aca="false">IF($C25="","",SUMIFS(Transaktioner!$E$6:$E$505,Transaktioner!$C$6:$C$505,$C25,Transaktioner!$B$6:$B$505,"&gt;="&amp;DATE($C$3,10,1),Transaktioner!$B$6:$B$505,"&lt;"&amp;DATE($C$3,11,1)))</f>
        <v>0</v>
      </c>
      <c r="N25" s="21" t="n">
        <f aca="false">IF($C25="","",SUMIFS(Transaktioner!$E$6:$E$505,Transaktioner!$C$6:$C$505,$C25,Transaktioner!$B$6:$B$505,"&gt;="&amp;DATE($C$3,11,1),Transaktioner!$B$6:$B$505,"&lt;"&amp;DATE($C$3,12,1)))</f>
        <v>0</v>
      </c>
      <c r="O25" s="21" t="n">
        <f aca="false">IF($C25="","",SUMIFS(Transaktioner!$E$6:$E$505,Transaktioner!$C$6:$C$505,$C25,Transaktioner!$B$6:$B$505,"&gt;="&amp;DATE($C$3,12,1),Transaktioner!$B$6:$B$505,"&lt;"&amp;DATE($C$3,13,1)))</f>
        <v>0</v>
      </c>
      <c r="P25" s="22" t="n">
        <f aca="false">IF($C25="","",SUM(D25:O25))</f>
        <v>3000</v>
      </c>
      <c r="Q25" s="21" t="n">
        <f aca="false">IF($C25="","",Kategorier!$D$21*12)</f>
        <v>36000</v>
      </c>
      <c r="R25" s="21" t="n">
        <f aca="false">IF($C25="","",IF($B25="Inkomst",P25-Q25,Q25-P25))</f>
        <v>33000</v>
      </c>
      <c r="S25" s="23" t="n">
        <f aca="false">IF(OR($C25="",N(Q25)=0),"",P25/Q25)</f>
        <v>0.0833333333333333</v>
      </c>
    </row>
    <row r="26" customFormat="false" ht="15" hidden="false" customHeight="false" outlineLevel="0" collapsed="false">
      <c r="B26" s="14" t="str">
        <f aca="false">IF(Kategorier!$C$22="","",Kategorier!$B$22)</f>
        <v>Sparande</v>
      </c>
      <c r="C26" s="15" t="str">
        <f aca="false">IF(Kategorier!$C$22="","",Kategorier!$C$22)</f>
        <v>Fonder</v>
      </c>
      <c r="D26" s="16" t="n">
        <f aca="false">IF($C26="","",SUMIFS(Transaktioner!$E$6:$E$505,Transaktioner!$C$6:$C$505,$C26,Transaktioner!$B$6:$B$505,"&gt;="&amp;DATE($C$3,1,1),Transaktioner!$B$6:$B$505,"&lt;"&amp;DATE($C$3,2,1)))</f>
        <v>0</v>
      </c>
      <c r="E26" s="16" t="n">
        <f aca="false">IF($C26="","",SUMIFS(Transaktioner!$E$6:$E$505,Transaktioner!$C$6:$C$505,$C26,Transaktioner!$B$6:$B$505,"&gt;="&amp;DATE($C$3,2,1),Transaktioner!$B$6:$B$505,"&lt;"&amp;DATE($C$3,3,1)))</f>
        <v>0</v>
      </c>
      <c r="F26" s="16" t="n">
        <f aca="false">IF($C26="","",SUMIFS(Transaktioner!$E$6:$E$505,Transaktioner!$C$6:$C$505,$C26,Transaktioner!$B$6:$B$505,"&gt;="&amp;DATE($C$3,3,1),Transaktioner!$B$6:$B$505,"&lt;"&amp;DATE($C$3,4,1)))</f>
        <v>0</v>
      </c>
      <c r="G26" s="16" t="n">
        <f aca="false">IF($C26="","",SUMIFS(Transaktioner!$E$6:$E$505,Transaktioner!$C$6:$C$505,$C26,Transaktioner!$B$6:$B$505,"&gt;="&amp;DATE($C$3,4,1),Transaktioner!$B$6:$B$505,"&lt;"&amp;DATE($C$3,5,1)))</f>
        <v>0</v>
      </c>
      <c r="H26" s="16" t="n">
        <f aca="false">IF($C26="","",SUMIFS(Transaktioner!$E$6:$E$505,Transaktioner!$C$6:$C$505,$C26,Transaktioner!$B$6:$B$505,"&gt;="&amp;DATE($C$3,5,1),Transaktioner!$B$6:$B$505,"&lt;"&amp;DATE($C$3,6,1)))</f>
        <v>0</v>
      </c>
      <c r="I26" s="16" t="n">
        <f aca="false">IF($C26="","",SUMIFS(Transaktioner!$E$6:$E$505,Transaktioner!$C$6:$C$505,$C26,Transaktioner!$B$6:$B$505,"&gt;="&amp;DATE($C$3,6,1),Transaktioner!$B$6:$B$505,"&lt;"&amp;DATE($C$3,7,1)))</f>
        <v>0</v>
      </c>
      <c r="J26" s="16" t="n">
        <f aca="false">IF($C26="","",SUMIFS(Transaktioner!$E$6:$E$505,Transaktioner!$C$6:$C$505,$C26,Transaktioner!$B$6:$B$505,"&gt;="&amp;DATE($C$3,7,1),Transaktioner!$B$6:$B$505,"&lt;"&amp;DATE($C$3,8,1)))</f>
        <v>0</v>
      </c>
      <c r="K26" s="16" t="n">
        <f aca="false">IF($C26="","",SUMIFS(Transaktioner!$E$6:$E$505,Transaktioner!$C$6:$C$505,$C26,Transaktioner!$B$6:$B$505,"&gt;="&amp;DATE($C$3,8,1),Transaktioner!$B$6:$B$505,"&lt;"&amp;DATE($C$3,9,1)))</f>
        <v>0</v>
      </c>
      <c r="L26" s="16" t="n">
        <f aca="false">IF($C26="","",SUMIFS(Transaktioner!$E$6:$E$505,Transaktioner!$C$6:$C$505,$C26,Transaktioner!$B$6:$B$505,"&gt;="&amp;DATE($C$3,9,1),Transaktioner!$B$6:$B$505,"&lt;"&amp;DATE($C$3,10,1)))</f>
        <v>0</v>
      </c>
      <c r="M26" s="16" t="n">
        <f aca="false">IF($C26="","",SUMIFS(Transaktioner!$E$6:$E$505,Transaktioner!$C$6:$C$505,$C26,Transaktioner!$B$6:$B$505,"&gt;="&amp;DATE($C$3,10,1),Transaktioner!$B$6:$B$505,"&lt;"&amp;DATE($C$3,11,1)))</f>
        <v>0</v>
      </c>
      <c r="N26" s="16" t="n">
        <f aca="false">IF($C26="","",SUMIFS(Transaktioner!$E$6:$E$505,Transaktioner!$C$6:$C$505,$C26,Transaktioner!$B$6:$B$505,"&gt;="&amp;DATE($C$3,11,1),Transaktioner!$B$6:$B$505,"&lt;"&amp;DATE($C$3,12,1)))</f>
        <v>0</v>
      </c>
      <c r="O26" s="16" t="n">
        <f aca="false">IF($C26="","",SUMIFS(Transaktioner!$E$6:$E$505,Transaktioner!$C$6:$C$505,$C26,Transaktioner!$B$6:$B$505,"&gt;="&amp;DATE($C$3,12,1),Transaktioner!$B$6:$B$505,"&lt;"&amp;DATE($C$3,13,1)))</f>
        <v>0</v>
      </c>
      <c r="P26" s="17" t="n">
        <f aca="false">IF($C26="","",SUM(D26:O26))</f>
        <v>0</v>
      </c>
      <c r="Q26" s="16" t="n">
        <f aca="false">IF($C26="","",Kategorier!$D$22*12)</f>
        <v>30000</v>
      </c>
      <c r="R26" s="16" t="n">
        <f aca="false">IF($C26="","",IF($B26="Inkomst",P26-Q26,Q26-P26))</f>
        <v>30000</v>
      </c>
      <c r="S26" s="18" t="n">
        <f aca="false">IF(OR($C26="",N(Q26)=0),"",P26/Q26)</f>
        <v>0</v>
      </c>
    </row>
    <row r="27" customFormat="false" ht="15" hidden="false" customHeight="false" outlineLevel="0" collapsed="false">
      <c r="B27" s="19" t="str">
        <f aca="false">IF(Kategorier!$C$23="","",Kategorier!$B$23)</f>
        <v/>
      </c>
      <c r="C27" s="20" t="str">
        <f aca="false">IF(Kategorier!$C$23="","",Kategorier!$C$23)</f>
        <v/>
      </c>
      <c r="D27" s="21" t="str">
        <f aca="false">IF($C27="","",SUMIFS(Transaktioner!$E$6:$E$505,Transaktioner!$C$6:$C$505,$C27,Transaktioner!$B$6:$B$505,"&gt;="&amp;DATE($C$3,1,1),Transaktioner!$B$6:$B$505,"&lt;"&amp;DATE($C$3,2,1)))</f>
        <v/>
      </c>
      <c r="E27" s="21" t="str">
        <f aca="false">IF($C27="","",SUMIFS(Transaktioner!$E$6:$E$505,Transaktioner!$C$6:$C$505,$C27,Transaktioner!$B$6:$B$505,"&gt;="&amp;DATE($C$3,2,1),Transaktioner!$B$6:$B$505,"&lt;"&amp;DATE($C$3,3,1)))</f>
        <v/>
      </c>
      <c r="F27" s="21" t="str">
        <f aca="false">IF($C27="","",SUMIFS(Transaktioner!$E$6:$E$505,Transaktioner!$C$6:$C$505,$C27,Transaktioner!$B$6:$B$505,"&gt;="&amp;DATE($C$3,3,1),Transaktioner!$B$6:$B$505,"&lt;"&amp;DATE($C$3,4,1)))</f>
        <v/>
      </c>
      <c r="G27" s="21" t="str">
        <f aca="false">IF($C27="","",SUMIFS(Transaktioner!$E$6:$E$505,Transaktioner!$C$6:$C$505,$C27,Transaktioner!$B$6:$B$505,"&gt;="&amp;DATE($C$3,4,1),Transaktioner!$B$6:$B$505,"&lt;"&amp;DATE($C$3,5,1)))</f>
        <v/>
      </c>
      <c r="H27" s="21" t="str">
        <f aca="false">IF($C27="","",SUMIFS(Transaktioner!$E$6:$E$505,Transaktioner!$C$6:$C$505,$C27,Transaktioner!$B$6:$B$505,"&gt;="&amp;DATE($C$3,5,1),Transaktioner!$B$6:$B$505,"&lt;"&amp;DATE($C$3,6,1)))</f>
        <v/>
      </c>
      <c r="I27" s="21" t="str">
        <f aca="false">IF($C27="","",SUMIFS(Transaktioner!$E$6:$E$505,Transaktioner!$C$6:$C$505,$C27,Transaktioner!$B$6:$B$505,"&gt;="&amp;DATE($C$3,6,1),Transaktioner!$B$6:$B$505,"&lt;"&amp;DATE($C$3,7,1)))</f>
        <v/>
      </c>
      <c r="J27" s="21" t="str">
        <f aca="false">IF($C27="","",SUMIFS(Transaktioner!$E$6:$E$505,Transaktioner!$C$6:$C$505,$C27,Transaktioner!$B$6:$B$505,"&gt;="&amp;DATE($C$3,7,1),Transaktioner!$B$6:$B$505,"&lt;"&amp;DATE($C$3,8,1)))</f>
        <v/>
      </c>
      <c r="K27" s="21" t="str">
        <f aca="false">IF($C27="","",SUMIFS(Transaktioner!$E$6:$E$505,Transaktioner!$C$6:$C$505,$C27,Transaktioner!$B$6:$B$505,"&gt;="&amp;DATE($C$3,8,1),Transaktioner!$B$6:$B$505,"&lt;"&amp;DATE($C$3,9,1)))</f>
        <v/>
      </c>
      <c r="L27" s="21" t="str">
        <f aca="false">IF($C27="","",SUMIFS(Transaktioner!$E$6:$E$505,Transaktioner!$C$6:$C$505,$C27,Transaktioner!$B$6:$B$505,"&gt;="&amp;DATE($C$3,9,1),Transaktioner!$B$6:$B$505,"&lt;"&amp;DATE($C$3,10,1)))</f>
        <v/>
      </c>
      <c r="M27" s="21" t="str">
        <f aca="false">IF($C27="","",SUMIFS(Transaktioner!$E$6:$E$505,Transaktioner!$C$6:$C$505,$C27,Transaktioner!$B$6:$B$505,"&gt;="&amp;DATE($C$3,10,1),Transaktioner!$B$6:$B$505,"&lt;"&amp;DATE($C$3,11,1)))</f>
        <v/>
      </c>
      <c r="N27" s="21" t="str">
        <f aca="false">IF($C27="","",SUMIFS(Transaktioner!$E$6:$E$505,Transaktioner!$C$6:$C$505,$C27,Transaktioner!$B$6:$B$505,"&gt;="&amp;DATE($C$3,11,1),Transaktioner!$B$6:$B$505,"&lt;"&amp;DATE($C$3,12,1)))</f>
        <v/>
      </c>
      <c r="O27" s="21" t="str">
        <f aca="false">IF($C27="","",SUMIFS(Transaktioner!$E$6:$E$505,Transaktioner!$C$6:$C$505,$C27,Transaktioner!$B$6:$B$505,"&gt;="&amp;DATE($C$3,12,1),Transaktioner!$B$6:$B$505,"&lt;"&amp;DATE($C$3,13,1)))</f>
        <v/>
      </c>
      <c r="P27" s="22" t="str">
        <f aca="false">IF($C27="","",SUM(D27:O27))</f>
        <v/>
      </c>
      <c r="Q27" s="21" t="str">
        <f aca="false">IF($C27="","",Kategorier!$D$23*12)</f>
        <v/>
      </c>
      <c r="R27" s="21" t="str">
        <f aca="false">IF($C27="","",IF($B27="Inkomst",P27-Q27,Q27-P27))</f>
        <v/>
      </c>
      <c r="S27" s="23" t="str">
        <f aca="false">IF(OR($C27="",N(Q27)=0),"",P27/Q27)</f>
        <v/>
      </c>
    </row>
    <row r="28" customFormat="false" ht="15" hidden="false" customHeight="false" outlineLevel="0" collapsed="false">
      <c r="B28" s="14" t="str">
        <f aca="false">IF(Kategorier!$C$24="","",Kategorier!$B$24)</f>
        <v/>
      </c>
      <c r="C28" s="15" t="str">
        <f aca="false">IF(Kategorier!$C$24="","",Kategorier!$C$24)</f>
        <v/>
      </c>
      <c r="D28" s="16" t="str">
        <f aca="false">IF($C28="","",SUMIFS(Transaktioner!$E$6:$E$505,Transaktioner!$C$6:$C$505,$C28,Transaktioner!$B$6:$B$505,"&gt;="&amp;DATE($C$3,1,1),Transaktioner!$B$6:$B$505,"&lt;"&amp;DATE($C$3,2,1)))</f>
        <v/>
      </c>
      <c r="E28" s="16" t="str">
        <f aca="false">IF($C28="","",SUMIFS(Transaktioner!$E$6:$E$505,Transaktioner!$C$6:$C$505,$C28,Transaktioner!$B$6:$B$505,"&gt;="&amp;DATE($C$3,2,1),Transaktioner!$B$6:$B$505,"&lt;"&amp;DATE($C$3,3,1)))</f>
        <v/>
      </c>
      <c r="F28" s="16" t="str">
        <f aca="false">IF($C28="","",SUMIFS(Transaktioner!$E$6:$E$505,Transaktioner!$C$6:$C$505,$C28,Transaktioner!$B$6:$B$505,"&gt;="&amp;DATE($C$3,3,1),Transaktioner!$B$6:$B$505,"&lt;"&amp;DATE($C$3,4,1)))</f>
        <v/>
      </c>
      <c r="G28" s="16" t="str">
        <f aca="false">IF($C28="","",SUMIFS(Transaktioner!$E$6:$E$505,Transaktioner!$C$6:$C$505,$C28,Transaktioner!$B$6:$B$505,"&gt;="&amp;DATE($C$3,4,1),Transaktioner!$B$6:$B$505,"&lt;"&amp;DATE($C$3,5,1)))</f>
        <v/>
      </c>
      <c r="H28" s="16" t="str">
        <f aca="false">IF($C28="","",SUMIFS(Transaktioner!$E$6:$E$505,Transaktioner!$C$6:$C$505,$C28,Transaktioner!$B$6:$B$505,"&gt;="&amp;DATE($C$3,5,1),Transaktioner!$B$6:$B$505,"&lt;"&amp;DATE($C$3,6,1)))</f>
        <v/>
      </c>
      <c r="I28" s="16" t="str">
        <f aca="false">IF($C28="","",SUMIFS(Transaktioner!$E$6:$E$505,Transaktioner!$C$6:$C$505,$C28,Transaktioner!$B$6:$B$505,"&gt;="&amp;DATE($C$3,6,1),Transaktioner!$B$6:$B$505,"&lt;"&amp;DATE($C$3,7,1)))</f>
        <v/>
      </c>
      <c r="J28" s="16" t="str">
        <f aca="false">IF($C28="","",SUMIFS(Transaktioner!$E$6:$E$505,Transaktioner!$C$6:$C$505,$C28,Transaktioner!$B$6:$B$505,"&gt;="&amp;DATE($C$3,7,1),Transaktioner!$B$6:$B$505,"&lt;"&amp;DATE($C$3,8,1)))</f>
        <v/>
      </c>
      <c r="K28" s="16" t="str">
        <f aca="false">IF($C28="","",SUMIFS(Transaktioner!$E$6:$E$505,Transaktioner!$C$6:$C$505,$C28,Transaktioner!$B$6:$B$505,"&gt;="&amp;DATE($C$3,8,1),Transaktioner!$B$6:$B$505,"&lt;"&amp;DATE($C$3,9,1)))</f>
        <v/>
      </c>
      <c r="L28" s="16" t="str">
        <f aca="false">IF($C28="","",SUMIFS(Transaktioner!$E$6:$E$505,Transaktioner!$C$6:$C$505,$C28,Transaktioner!$B$6:$B$505,"&gt;="&amp;DATE($C$3,9,1),Transaktioner!$B$6:$B$505,"&lt;"&amp;DATE($C$3,10,1)))</f>
        <v/>
      </c>
      <c r="M28" s="16" t="str">
        <f aca="false">IF($C28="","",SUMIFS(Transaktioner!$E$6:$E$505,Transaktioner!$C$6:$C$505,$C28,Transaktioner!$B$6:$B$505,"&gt;="&amp;DATE($C$3,10,1),Transaktioner!$B$6:$B$505,"&lt;"&amp;DATE($C$3,11,1)))</f>
        <v/>
      </c>
      <c r="N28" s="16" t="str">
        <f aca="false">IF($C28="","",SUMIFS(Transaktioner!$E$6:$E$505,Transaktioner!$C$6:$C$505,$C28,Transaktioner!$B$6:$B$505,"&gt;="&amp;DATE($C$3,11,1),Transaktioner!$B$6:$B$505,"&lt;"&amp;DATE($C$3,12,1)))</f>
        <v/>
      </c>
      <c r="O28" s="16" t="str">
        <f aca="false">IF($C28="","",SUMIFS(Transaktioner!$E$6:$E$505,Transaktioner!$C$6:$C$505,$C28,Transaktioner!$B$6:$B$505,"&gt;="&amp;DATE($C$3,12,1),Transaktioner!$B$6:$B$505,"&lt;"&amp;DATE($C$3,13,1)))</f>
        <v/>
      </c>
      <c r="P28" s="17" t="str">
        <f aca="false">IF($C28="","",SUM(D28:O28))</f>
        <v/>
      </c>
      <c r="Q28" s="16" t="str">
        <f aca="false">IF($C28="","",Kategorier!$D$24*12)</f>
        <v/>
      </c>
      <c r="R28" s="16" t="str">
        <f aca="false">IF($C28="","",IF($B28="Inkomst",P28-Q28,Q28-P28))</f>
        <v/>
      </c>
      <c r="S28" s="18" t="str">
        <f aca="false">IF(OR($C28="",N(Q28)=0),"",P28/Q28)</f>
        <v/>
      </c>
    </row>
    <row r="29" customFormat="false" ht="15" hidden="false" customHeight="false" outlineLevel="0" collapsed="false">
      <c r="B29" s="19" t="str">
        <f aca="false">IF(Kategorier!$C$25="","",Kategorier!$B$25)</f>
        <v/>
      </c>
      <c r="C29" s="20" t="str">
        <f aca="false">IF(Kategorier!$C$25="","",Kategorier!$C$25)</f>
        <v/>
      </c>
      <c r="D29" s="21" t="str">
        <f aca="false">IF($C29="","",SUMIFS(Transaktioner!$E$6:$E$505,Transaktioner!$C$6:$C$505,$C29,Transaktioner!$B$6:$B$505,"&gt;="&amp;DATE($C$3,1,1),Transaktioner!$B$6:$B$505,"&lt;"&amp;DATE($C$3,2,1)))</f>
        <v/>
      </c>
      <c r="E29" s="21" t="str">
        <f aca="false">IF($C29="","",SUMIFS(Transaktioner!$E$6:$E$505,Transaktioner!$C$6:$C$505,$C29,Transaktioner!$B$6:$B$505,"&gt;="&amp;DATE($C$3,2,1),Transaktioner!$B$6:$B$505,"&lt;"&amp;DATE($C$3,3,1)))</f>
        <v/>
      </c>
      <c r="F29" s="21" t="str">
        <f aca="false">IF($C29="","",SUMIFS(Transaktioner!$E$6:$E$505,Transaktioner!$C$6:$C$505,$C29,Transaktioner!$B$6:$B$505,"&gt;="&amp;DATE($C$3,3,1),Transaktioner!$B$6:$B$505,"&lt;"&amp;DATE($C$3,4,1)))</f>
        <v/>
      </c>
      <c r="G29" s="21" t="str">
        <f aca="false">IF($C29="","",SUMIFS(Transaktioner!$E$6:$E$505,Transaktioner!$C$6:$C$505,$C29,Transaktioner!$B$6:$B$505,"&gt;="&amp;DATE($C$3,4,1),Transaktioner!$B$6:$B$505,"&lt;"&amp;DATE($C$3,5,1)))</f>
        <v/>
      </c>
      <c r="H29" s="21" t="str">
        <f aca="false">IF($C29="","",SUMIFS(Transaktioner!$E$6:$E$505,Transaktioner!$C$6:$C$505,$C29,Transaktioner!$B$6:$B$505,"&gt;="&amp;DATE($C$3,5,1),Transaktioner!$B$6:$B$505,"&lt;"&amp;DATE($C$3,6,1)))</f>
        <v/>
      </c>
      <c r="I29" s="21" t="str">
        <f aca="false">IF($C29="","",SUMIFS(Transaktioner!$E$6:$E$505,Transaktioner!$C$6:$C$505,$C29,Transaktioner!$B$6:$B$505,"&gt;="&amp;DATE($C$3,6,1),Transaktioner!$B$6:$B$505,"&lt;"&amp;DATE($C$3,7,1)))</f>
        <v/>
      </c>
      <c r="J29" s="21" t="str">
        <f aca="false">IF($C29="","",SUMIFS(Transaktioner!$E$6:$E$505,Transaktioner!$C$6:$C$505,$C29,Transaktioner!$B$6:$B$505,"&gt;="&amp;DATE($C$3,7,1),Transaktioner!$B$6:$B$505,"&lt;"&amp;DATE($C$3,8,1)))</f>
        <v/>
      </c>
      <c r="K29" s="21" t="str">
        <f aca="false">IF($C29="","",SUMIFS(Transaktioner!$E$6:$E$505,Transaktioner!$C$6:$C$505,$C29,Transaktioner!$B$6:$B$505,"&gt;="&amp;DATE($C$3,8,1),Transaktioner!$B$6:$B$505,"&lt;"&amp;DATE($C$3,9,1)))</f>
        <v/>
      </c>
      <c r="L29" s="21" t="str">
        <f aca="false">IF($C29="","",SUMIFS(Transaktioner!$E$6:$E$505,Transaktioner!$C$6:$C$505,$C29,Transaktioner!$B$6:$B$505,"&gt;="&amp;DATE($C$3,9,1),Transaktioner!$B$6:$B$505,"&lt;"&amp;DATE($C$3,10,1)))</f>
        <v/>
      </c>
      <c r="M29" s="21" t="str">
        <f aca="false">IF($C29="","",SUMIFS(Transaktioner!$E$6:$E$505,Transaktioner!$C$6:$C$505,$C29,Transaktioner!$B$6:$B$505,"&gt;="&amp;DATE($C$3,10,1),Transaktioner!$B$6:$B$505,"&lt;"&amp;DATE($C$3,11,1)))</f>
        <v/>
      </c>
      <c r="N29" s="21" t="str">
        <f aca="false">IF($C29="","",SUMIFS(Transaktioner!$E$6:$E$505,Transaktioner!$C$6:$C$505,$C29,Transaktioner!$B$6:$B$505,"&gt;="&amp;DATE($C$3,11,1),Transaktioner!$B$6:$B$505,"&lt;"&amp;DATE($C$3,12,1)))</f>
        <v/>
      </c>
      <c r="O29" s="21" t="str">
        <f aca="false">IF($C29="","",SUMIFS(Transaktioner!$E$6:$E$505,Transaktioner!$C$6:$C$505,$C29,Transaktioner!$B$6:$B$505,"&gt;="&amp;DATE($C$3,12,1),Transaktioner!$B$6:$B$505,"&lt;"&amp;DATE($C$3,13,1)))</f>
        <v/>
      </c>
      <c r="P29" s="22" t="str">
        <f aca="false">IF($C29="","",SUM(D29:O29))</f>
        <v/>
      </c>
      <c r="Q29" s="21" t="str">
        <f aca="false">IF($C29="","",Kategorier!$D$25*12)</f>
        <v/>
      </c>
      <c r="R29" s="21" t="str">
        <f aca="false">IF($C29="","",IF($B29="Inkomst",P29-Q29,Q29-P29))</f>
        <v/>
      </c>
      <c r="S29" s="23" t="str">
        <f aca="false">IF(OR($C29="",N(Q29)=0),"",P29/Q29)</f>
        <v/>
      </c>
    </row>
    <row r="30" customFormat="false" ht="15" hidden="false" customHeight="false" outlineLevel="0" collapsed="false">
      <c r="B30" s="14" t="str">
        <f aca="false">IF(Kategorier!$C$26="","",Kategorier!$B$26)</f>
        <v/>
      </c>
      <c r="C30" s="15" t="str">
        <f aca="false">IF(Kategorier!$C$26="","",Kategorier!$C$26)</f>
        <v/>
      </c>
      <c r="D30" s="16" t="str">
        <f aca="false">IF($C30="","",SUMIFS(Transaktioner!$E$6:$E$505,Transaktioner!$C$6:$C$505,$C30,Transaktioner!$B$6:$B$505,"&gt;="&amp;DATE($C$3,1,1),Transaktioner!$B$6:$B$505,"&lt;"&amp;DATE($C$3,2,1)))</f>
        <v/>
      </c>
      <c r="E30" s="16" t="str">
        <f aca="false">IF($C30="","",SUMIFS(Transaktioner!$E$6:$E$505,Transaktioner!$C$6:$C$505,$C30,Transaktioner!$B$6:$B$505,"&gt;="&amp;DATE($C$3,2,1),Transaktioner!$B$6:$B$505,"&lt;"&amp;DATE($C$3,3,1)))</f>
        <v/>
      </c>
      <c r="F30" s="16" t="str">
        <f aca="false">IF($C30="","",SUMIFS(Transaktioner!$E$6:$E$505,Transaktioner!$C$6:$C$505,$C30,Transaktioner!$B$6:$B$505,"&gt;="&amp;DATE($C$3,3,1),Transaktioner!$B$6:$B$505,"&lt;"&amp;DATE($C$3,4,1)))</f>
        <v/>
      </c>
      <c r="G30" s="16" t="str">
        <f aca="false">IF($C30="","",SUMIFS(Transaktioner!$E$6:$E$505,Transaktioner!$C$6:$C$505,$C30,Transaktioner!$B$6:$B$505,"&gt;="&amp;DATE($C$3,4,1),Transaktioner!$B$6:$B$505,"&lt;"&amp;DATE($C$3,5,1)))</f>
        <v/>
      </c>
      <c r="H30" s="16" t="str">
        <f aca="false">IF($C30="","",SUMIFS(Transaktioner!$E$6:$E$505,Transaktioner!$C$6:$C$505,$C30,Transaktioner!$B$6:$B$505,"&gt;="&amp;DATE($C$3,5,1),Transaktioner!$B$6:$B$505,"&lt;"&amp;DATE($C$3,6,1)))</f>
        <v/>
      </c>
      <c r="I30" s="16" t="str">
        <f aca="false">IF($C30="","",SUMIFS(Transaktioner!$E$6:$E$505,Transaktioner!$C$6:$C$505,$C30,Transaktioner!$B$6:$B$505,"&gt;="&amp;DATE($C$3,6,1),Transaktioner!$B$6:$B$505,"&lt;"&amp;DATE($C$3,7,1)))</f>
        <v/>
      </c>
      <c r="J30" s="16" t="str">
        <f aca="false">IF($C30="","",SUMIFS(Transaktioner!$E$6:$E$505,Transaktioner!$C$6:$C$505,$C30,Transaktioner!$B$6:$B$505,"&gt;="&amp;DATE($C$3,7,1),Transaktioner!$B$6:$B$505,"&lt;"&amp;DATE($C$3,8,1)))</f>
        <v/>
      </c>
      <c r="K30" s="16" t="str">
        <f aca="false">IF($C30="","",SUMIFS(Transaktioner!$E$6:$E$505,Transaktioner!$C$6:$C$505,$C30,Transaktioner!$B$6:$B$505,"&gt;="&amp;DATE($C$3,8,1),Transaktioner!$B$6:$B$505,"&lt;"&amp;DATE($C$3,9,1)))</f>
        <v/>
      </c>
      <c r="L30" s="16" t="str">
        <f aca="false">IF($C30="","",SUMIFS(Transaktioner!$E$6:$E$505,Transaktioner!$C$6:$C$505,$C30,Transaktioner!$B$6:$B$505,"&gt;="&amp;DATE($C$3,9,1),Transaktioner!$B$6:$B$505,"&lt;"&amp;DATE($C$3,10,1)))</f>
        <v/>
      </c>
      <c r="M30" s="16" t="str">
        <f aca="false">IF($C30="","",SUMIFS(Transaktioner!$E$6:$E$505,Transaktioner!$C$6:$C$505,$C30,Transaktioner!$B$6:$B$505,"&gt;="&amp;DATE($C$3,10,1),Transaktioner!$B$6:$B$505,"&lt;"&amp;DATE($C$3,11,1)))</f>
        <v/>
      </c>
      <c r="N30" s="16" t="str">
        <f aca="false">IF($C30="","",SUMIFS(Transaktioner!$E$6:$E$505,Transaktioner!$C$6:$C$505,$C30,Transaktioner!$B$6:$B$505,"&gt;="&amp;DATE($C$3,11,1),Transaktioner!$B$6:$B$505,"&lt;"&amp;DATE($C$3,12,1)))</f>
        <v/>
      </c>
      <c r="O30" s="16" t="str">
        <f aca="false">IF($C30="","",SUMIFS(Transaktioner!$E$6:$E$505,Transaktioner!$C$6:$C$505,$C30,Transaktioner!$B$6:$B$505,"&gt;="&amp;DATE($C$3,12,1),Transaktioner!$B$6:$B$505,"&lt;"&amp;DATE($C$3,13,1)))</f>
        <v/>
      </c>
      <c r="P30" s="17" t="str">
        <f aca="false">IF($C30="","",SUM(D30:O30))</f>
        <v/>
      </c>
      <c r="Q30" s="16" t="str">
        <f aca="false">IF($C30="","",Kategorier!$D$26*12)</f>
        <v/>
      </c>
      <c r="R30" s="16" t="str">
        <f aca="false">IF($C30="","",IF($B30="Inkomst",P30-Q30,Q30-P30))</f>
        <v/>
      </c>
      <c r="S30" s="18" t="str">
        <f aca="false">IF(OR($C30="",N(Q30)=0),"",P30/Q30)</f>
        <v/>
      </c>
    </row>
    <row r="31" customFormat="false" ht="15" hidden="false" customHeight="false" outlineLevel="0" collapsed="false">
      <c r="B31" s="19" t="str">
        <f aca="false">IF(Kategorier!$C$27="","",Kategorier!$B$27)</f>
        <v/>
      </c>
      <c r="C31" s="20" t="str">
        <f aca="false">IF(Kategorier!$C$27="","",Kategorier!$C$27)</f>
        <v/>
      </c>
      <c r="D31" s="21" t="str">
        <f aca="false">IF($C31="","",SUMIFS(Transaktioner!$E$6:$E$505,Transaktioner!$C$6:$C$505,$C31,Transaktioner!$B$6:$B$505,"&gt;="&amp;DATE($C$3,1,1),Transaktioner!$B$6:$B$505,"&lt;"&amp;DATE($C$3,2,1)))</f>
        <v/>
      </c>
      <c r="E31" s="21" t="str">
        <f aca="false">IF($C31="","",SUMIFS(Transaktioner!$E$6:$E$505,Transaktioner!$C$6:$C$505,$C31,Transaktioner!$B$6:$B$505,"&gt;="&amp;DATE($C$3,2,1),Transaktioner!$B$6:$B$505,"&lt;"&amp;DATE($C$3,3,1)))</f>
        <v/>
      </c>
      <c r="F31" s="21" t="str">
        <f aca="false">IF($C31="","",SUMIFS(Transaktioner!$E$6:$E$505,Transaktioner!$C$6:$C$505,$C31,Transaktioner!$B$6:$B$505,"&gt;="&amp;DATE($C$3,3,1),Transaktioner!$B$6:$B$505,"&lt;"&amp;DATE($C$3,4,1)))</f>
        <v/>
      </c>
      <c r="G31" s="21" t="str">
        <f aca="false">IF($C31="","",SUMIFS(Transaktioner!$E$6:$E$505,Transaktioner!$C$6:$C$505,$C31,Transaktioner!$B$6:$B$505,"&gt;="&amp;DATE($C$3,4,1),Transaktioner!$B$6:$B$505,"&lt;"&amp;DATE($C$3,5,1)))</f>
        <v/>
      </c>
      <c r="H31" s="21" t="str">
        <f aca="false">IF($C31="","",SUMIFS(Transaktioner!$E$6:$E$505,Transaktioner!$C$6:$C$505,$C31,Transaktioner!$B$6:$B$505,"&gt;="&amp;DATE($C$3,5,1),Transaktioner!$B$6:$B$505,"&lt;"&amp;DATE($C$3,6,1)))</f>
        <v/>
      </c>
      <c r="I31" s="21" t="str">
        <f aca="false">IF($C31="","",SUMIFS(Transaktioner!$E$6:$E$505,Transaktioner!$C$6:$C$505,$C31,Transaktioner!$B$6:$B$505,"&gt;="&amp;DATE($C$3,6,1),Transaktioner!$B$6:$B$505,"&lt;"&amp;DATE($C$3,7,1)))</f>
        <v/>
      </c>
      <c r="J31" s="21" t="str">
        <f aca="false">IF($C31="","",SUMIFS(Transaktioner!$E$6:$E$505,Transaktioner!$C$6:$C$505,$C31,Transaktioner!$B$6:$B$505,"&gt;="&amp;DATE($C$3,7,1),Transaktioner!$B$6:$B$505,"&lt;"&amp;DATE($C$3,8,1)))</f>
        <v/>
      </c>
      <c r="K31" s="21" t="str">
        <f aca="false">IF($C31="","",SUMIFS(Transaktioner!$E$6:$E$505,Transaktioner!$C$6:$C$505,$C31,Transaktioner!$B$6:$B$505,"&gt;="&amp;DATE($C$3,8,1),Transaktioner!$B$6:$B$505,"&lt;"&amp;DATE($C$3,9,1)))</f>
        <v/>
      </c>
      <c r="L31" s="21" t="str">
        <f aca="false">IF($C31="","",SUMIFS(Transaktioner!$E$6:$E$505,Transaktioner!$C$6:$C$505,$C31,Transaktioner!$B$6:$B$505,"&gt;="&amp;DATE($C$3,9,1),Transaktioner!$B$6:$B$505,"&lt;"&amp;DATE($C$3,10,1)))</f>
        <v/>
      </c>
      <c r="M31" s="21" t="str">
        <f aca="false">IF($C31="","",SUMIFS(Transaktioner!$E$6:$E$505,Transaktioner!$C$6:$C$505,$C31,Transaktioner!$B$6:$B$505,"&gt;="&amp;DATE($C$3,10,1),Transaktioner!$B$6:$B$505,"&lt;"&amp;DATE($C$3,11,1)))</f>
        <v/>
      </c>
      <c r="N31" s="21" t="str">
        <f aca="false">IF($C31="","",SUMIFS(Transaktioner!$E$6:$E$505,Transaktioner!$C$6:$C$505,$C31,Transaktioner!$B$6:$B$505,"&gt;="&amp;DATE($C$3,11,1),Transaktioner!$B$6:$B$505,"&lt;"&amp;DATE($C$3,12,1)))</f>
        <v/>
      </c>
      <c r="O31" s="21" t="str">
        <f aca="false">IF($C31="","",SUMIFS(Transaktioner!$E$6:$E$505,Transaktioner!$C$6:$C$505,$C31,Transaktioner!$B$6:$B$505,"&gt;="&amp;DATE($C$3,12,1),Transaktioner!$B$6:$B$505,"&lt;"&amp;DATE($C$3,13,1)))</f>
        <v/>
      </c>
      <c r="P31" s="22" t="str">
        <f aca="false">IF($C31="","",SUM(D31:O31))</f>
        <v/>
      </c>
      <c r="Q31" s="21" t="str">
        <f aca="false">IF($C31="","",Kategorier!$D$27*12)</f>
        <v/>
      </c>
      <c r="R31" s="21" t="str">
        <f aca="false">IF($C31="","",IF($B31="Inkomst",P31-Q31,Q31-P31))</f>
        <v/>
      </c>
      <c r="S31" s="23" t="str">
        <f aca="false">IF(OR($C31="",N(Q31)=0),"",P31/Q31)</f>
        <v/>
      </c>
    </row>
    <row r="32" customFormat="false" ht="15" hidden="false" customHeight="false" outlineLevel="0" collapsed="false">
      <c r="B32" s="14" t="str">
        <f aca="false">IF(Kategorier!$C$28="","",Kategorier!$B$28)</f>
        <v/>
      </c>
      <c r="C32" s="15" t="str">
        <f aca="false">IF(Kategorier!$C$28="","",Kategorier!$C$28)</f>
        <v/>
      </c>
      <c r="D32" s="16" t="str">
        <f aca="false">IF($C32="","",SUMIFS(Transaktioner!$E$6:$E$505,Transaktioner!$C$6:$C$505,$C32,Transaktioner!$B$6:$B$505,"&gt;="&amp;DATE($C$3,1,1),Transaktioner!$B$6:$B$505,"&lt;"&amp;DATE($C$3,2,1)))</f>
        <v/>
      </c>
      <c r="E32" s="16" t="str">
        <f aca="false">IF($C32="","",SUMIFS(Transaktioner!$E$6:$E$505,Transaktioner!$C$6:$C$505,$C32,Transaktioner!$B$6:$B$505,"&gt;="&amp;DATE($C$3,2,1),Transaktioner!$B$6:$B$505,"&lt;"&amp;DATE($C$3,3,1)))</f>
        <v/>
      </c>
      <c r="F32" s="16" t="str">
        <f aca="false">IF($C32="","",SUMIFS(Transaktioner!$E$6:$E$505,Transaktioner!$C$6:$C$505,$C32,Transaktioner!$B$6:$B$505,"&gt;="&amp;DATE($C$3,3,1),Transaktioner!$B$6:$B$505,"&lt;"&amp;DATE($C$3,4,1)))</f>
        <v/>
      </c>
      <c r="G32" s="16" t="str">
        <f aca="false">IF($C32="","",SUMIFS(Transaktioner!$E$6:$E$505,Transaktioner!$C$6:$C$505,$C32,Transaktioner!$B$6:$B$505,"&gt;="&amp;DATE($C$3,4,1),Transaktioner!$B$6:$B$505,"&lt;"&amp;DATE($C$3,5,1)))</f>
        <v/>
      </c>
      <c r="H32" s="16" t="str">
        <f aca="false">IF($C32="","",SUMIFS(Transaktioner!$E$6:$E$505,Transaktioner!$C$6:$C$505,$C32,Transaktioner!$B$6:$B$505,"&gt;="&amp;DATE($C$3,5,1),Transaktioner!$B$6:$B$505,"&lt;"&amp;DATE($C$3,6,1)))</f>
        <v/>
      </c>
      <c r="I32" s="16" t="str">
        <f aca="false">IF($C32="","",SUMIFS(Transaktioner!$E$6:$E$505,Transaktioner!$C$6:$C$505,$C32,Transaktioner!$B$6:$B$505,"&gt;="&amp;DATE($C$3,6,1),Transaktioner!$B$6:$B$505,"&lt;"&amp;DATE($C$3,7,1)))</f>
        <v/>
      </c>
      <c r="J32" s="16" t="str">
        <f aca="false">IF($C32="","",SUMIFS(Transaktioner!$E$6:$E$505,Transaktioner!$C$6:$C$505,$C32,Transaktioner!$B$6:$B$505,"&gt;="&amp;DATE($C$3,7,1),Transaktioner!$B$6:$B$505,"&lt;"&amp;DATE($C$3,8,1)))</f>
        <v/>
      </c>
      <c r="K32" s="16" t="str">
        <f aca="false">IF($C32="","",SUMIFS(Transaktioner!$E$6:$E$505,Transaktioner!$C$6:$C$505,$C32,Transaktioner!$B$6:$B$505,"&gt;="&amp;DATE($C$3,8,1),Transaktioner!$B$6:$B$505,"&lt;"&amp;DATE($C$3,9,1)))</f>
        <v/>
      </c>
      <c r="L32" s="16" t="str">
        <f aca="false">IF($C32="","",SUMIFS(Transaktioner!$E$6:$E$505,Transaktioner!$C$6:$C$505,$C32,Transaktioner!$B$6:$B$505,"&gt;="&amp;DATE($C$3,9,1),Transaktioner!$B$6:$B$505,"&lt;"&amp;DATE($C$3,10,1)))</f>
        <v/>
      </c>
      <c r="M32" s="16" t="str">
        <f aca="false">IF($C32="","",SUMIFS(Transaktioner!$E$6:$E$505,Transaktioner!$C$6:$C$505,$C32,Transaktioner!$B$6:$B$505,"&gt;="&amp;DATE($C$3,10,1),Transaktioner!$B$6:$B$505,"&lt;"&amp;DATE($C$3,11,1)))</f>
        <v/>
      </c>
      <c r="N32" s="16" t="str">
        <f aca="false">IF($C32="","",SUMIFS(Transaktioner!$E$6:$E$505,Transaktioner!$C$6:$C$505,$C32,Transaktioner!$B$6:$B$505,"&gt;="&amp;DATE($C$3,11,1),Transaktioner!$B$6:$B$505,"&lt;"&amp;DATE($C$3,12,1)))</f>
        <v/>
      </c>
      <c r="O32" s="16" t="str">
        <f aca="false">IF($C32="","",SUMIFS(Transaktioner!$E$6:$E$505,Transaktioner!$C$6:$C$505,$C32,Transaktioner!$B$6:$B$505,"&gt;="&amp;DATE($C$3,12,1),Transaktioner!$B$6:$B$505,"&lt;"&amp;DATE($C$3,13,1)))</f>
        <v/>
      </c>
      <c r="P32" s="17" t="str">
        <f aca="false">IF($C32="","",SUM(D32:O32))</f>
        <v/>
      </c>
      <c r="Q32" s="16" t="str">
        <f aca="false">IF($C32="","",Kategorier!$D$28*12)</f>
        <v/>
      </c>
      <c r="R32" s="16" t="str">
        <f aca="false">IF($C32="","",IF($B32="Inkomst",P32-Q32,Q32-P32))</f>
        <v/>
      </c>
      <c r="S32" s="18" t="str">
        <f aca="false">IF(OR($C32="",N(Q32)=0),"",P32/Q32)</f>
        <v/>
      </c>
    </row>
    <row r="33" customFormat="false" ht="15" hidden="false" customHeight="false" outlineLevel="0" collapsed="false">
      <c r="B33" s="19" t="str">
        <f aca="false">IF(Kategorier!$C$29="","",Kategorier!$B$29)</f>
        <v/>
      </c>
      <c r="C33" s="20" t="str">
        <f aca="false">IF(Kategorier!$C$29="","",Kategorier!$C$29)</f>
        <v/>
      </c>
      <c r="D33" s="21" t="str">
        <f aca="false">IF($C33="","",SUMIFS(Transaktioner!$E$6:$E$505,Transaktioner!$C$6:$C$505,$C33,Transaktioner!$B$6:$B$505,"&gt;="&amp;DATE($C$3,1,1),Transaktioner!$B$6:$B$505,"&lt;"&amp;DATE($C$3,2,1)))</f>
        <v/>
      </c>
      <c r="E33" s="21" t="str">
        <f aca="false">IF($C33="","",SUMIFS(Transaktioner!$E$6:$E$505,Transaktioner!$C$6:$C$505,$C33,Transaktioner!$B$6:$B$505,"&gt;="&amp;DATE($C$3,2,1),Transaktioner!$B$6:$B$505,"&lt;"&amp;DATE($C$3,3,1)))</f>
        <v/>
      </c>
      <c r="F33" s="21" t="str">
        <f aca="false">IF($C33="","",SUMIFS(Transaktioner!$E$6:$E$505,Transaktioner!$C$6:$C$505,$C33,Transaktioner!$B$6:$B$505,"&gt;="&amp;DATE($C$3,3,1),Transaktioner!$B$6:$B$505,"&lt;"&amp;DATE($C$3,4,1)))</f>
        <v/>
      </c>
      <c r="G33" s="21" t="str">
        <f aca="false">IF($C33="","",SUMIFS(Transaktioner!$E$6:$E$505,Transaktioner!$C$6:$C$505,$C33,Transaktioner!$B$6:$B$505,"&gt;="&amp;DATE($C$3,4,1),Transaktioner!$B$6:$B$505,"&lt;"&amp;DATE($C$3,5,1)))</f>
        <v/>
      </c>
      <c r="H33" s="21" t="str">
        <f aca="false">IF($C33="","",SUMIFS(Transaktioner!$E$6:$E$505,Transaktioner!$C$6:$C$505,$C33,Transaktioner!$B$6:$B$505,"&gt;="&amp;DATE($C$3,5,1),Transaktioner!$B$6:$B$505,"&lt;"&amp;DATE($C$3,6,1)))</f>
        <v/>
      </c>
      <c r="I33" s="21" t="str">
        <f aca="false">IF($C33="","",SUMIFS(Transaktioner!$E$6:$E$505,Transaktioner!$C$6:$C$505,$C33,Transaktioner!$B$6:$B$505,"&gt;="&amp;DATE($C$3,6,1),Transaktioner!$B$6:$B$505,"&lt;"&amp;DATE($C$3,7,1)))</f>
        <v/>
      </c>
      <c r="J33" s="21" t="str">
        <f aca="false">IF($C33="","",SUMIFS(Transaktioner!$E$6:$E$505,Transaktioner!$C$6:$C$505,$C33,Transaktioner!$B$6:$B$505,"&gt;="&amp;DATE($C$3,7,1),Transaktioner!$B$6:$B$505,"&lt;"&amp;DATE($C$3,8,1)))</f>
        <v/>
      </c>
      <c r="K33" s="21" t="str">
        <f aca="false">IF($C33="","",SUMIFS(Transaktioner!$E$6:$E$505,Transaktioner!$C$6:$C$505,$C33,Transaktioner!$B$6:$B$505,"&gt;="&amp;DATE($C$3,8,1),Transaktioner!$B$6:$B$505,"&lt;"&amp;DATE($C$3,9,1)))</f>
        <v/>
      </c>
      <c r="L33" s="21" t="str">
        <f aca="false">IF($C33="","",SUMIFS(Transaktioner!$E$6:$E$505,Transaktioner!$C$6:$C$505,$C33,Transaktioner!$B$6:$B$505,"&gt;="&amp;DATE($C$3,9,1),Transaktioner!$B$6:$B$505,"&lt;"&amp;DATE($C$3,10,1)))</f>
        <v/>
      </c>
      <c r="M33" s="21" t="str">
        <f aca="false">IF($C33="","",SUMIFS(Transaktioner!$E$6:$E$505,Transaktioner!$C$6:$C$505,$C33,Transaktioner!$B$6:$B$505,"&gt;="&amp;DATE($C$3,10,1),Transaktioner!$B$6:$B$505,"&lt;"&amp;DATE($C$3,11,1)))</f>
        <v/>
      </c>
      <c r="N33" s="21" t="str">
        <f aca="false">IF($C33="","",SUMIFS(Transaktioner!$E$6:$E$505,Transaktioner!$C$6:$C$505,$C33,Transaktioner!$B$6:$B$505,"&gt;="&amp;DATE($C$3,11,1),Transaktioner!$B$6:$B$505,"&lt;"&amp;DATE($C$3,12,1)))</f>
        <v/>
      </c>
      <c r="O33" s="21" t="str">
        <f aca="false">IF($C33="","",SUMIFS(Transaktioner!$E$6:$E$505,Transaktioner!$C$6:$C$505,$C33,Transaktioner!$B$6:$B$505,"&gt;="&amp;DATE($C$3,12,1),Transaktioner!$B$6:$B$505,"&lt;"&amp;DATE($C$3,13,1)))</f>
        <v/>
      </c>
      <c r="P33" s="22" t="str">
        <f aca="false">IF($C33="","",SUM(D33:O33))</f>
        <v/>
      </c>
      <c r="Q33" s="21" t="str">
        <f aca="false">IF($C33="","",Kategorier!$D$29*12)</f>
        <v/>
      </c>
      <c r="R33" s="21" t="str">
        <f aca="false">IF($C33="","",IF($B33="Inkomst",P33-Q33,Q33-P33))</f>
        <v/>
      </c>
      <c r="S33" s="23" t="str">
        <f aca="false">IF(OR($C33="",N(Q33)=0),"",P33/Q33)</f>
        <v/>
      </c>
    </row>
    <row r="34" customFormat="false" ht="15" hidden="false" customHeight="false" outlineLevel="0" collapsed="false">
      <c r="B34" s="14" t="str">
        <f aca="false">IF(Kategorier!$C$30="","",Kategorier!$B$30)</f>
        <v/>
      </c>
      <c r="C34" s="15" t="str">
        <f aca="false">IF(Kategorier!$C$30="","",Kategorier!$C$30)</f>
        <v/>
      </c>
      <c r="D34" s="16" t="str">
        <f aca="false">IF($C34="","",SUMIFS(Transaktioner!$E$6:$E$505,Transaktioner!$C$6:$C$505,$C34,Transaktioner!$B$6:$B$505,"&gt;="&amp;DATE($C$3,1,1),Transaktioner!$B$6:$B$505,"&lt;"&amp;DATE($C$3,2,1)))</f>
        <v/>
      </c>
      <c r="E34" s="16" t="str">
        <f aca="false">IF($C34="","",SUMIFS(Transaktioner!$E$6:$E$505,Transaktioner!$C$6:$C$505,$C34,Transaktioner!$B$6:$B$505,"&gt;="&amp;DATE($C$3,2,1),Transaktioner!$B$6:$B$505,"&lt;"&amp;DATE($C$3,3,1)))</f>
        <v/>
      </c>
      <c r="F34" s="16" t="str">
        <f aca="false">IF($C34="","",SUMIFS(Transaktioner!$E$6:$E$505,Transaktioner!$C$6:$C$505,$C34,Transaktioner!$B$6:$B$505,"&gt;="&amp;DATE($C$3,3,1),Transaktioner!$B$6:$B$505,"&lt;"&amp;DATE($C$3,4,1)))</f>
        <v/>
      </c>
      <c r="G34" s="16" t="str">
        <f aca="false">IF($C34="","",SUMIFS(Transaktioner!$E$6:$E$505,Transaktioner!$C$6:$C$505,$C34,Transaktioner!$B$6:$B$505,"&gt;="&amp;DATE($C$3,4,1),Transaktioner!$B$6:$B$505,"&lt;"&amp;DATE($C$3,5,1)))</f>
        <v/>
      </c>
      <c r="H34" s="16" t="str">
        <f aca="false">IF($C34="","",SUMIFS(Transaktioner!$E$6:$E$505,Transaktioner!$C$6:$C$505,$C34,Transaktioner!$B$6:$B$505,"&gt;="&amp;DATE($C$3,5,1),Transaktioner!$B$6:$B$505,"&lt;"&amp;DATE($C$3,6,1)))</f>
        <v/>
      </c>
      <c r="I34" s="16" t="str">
        <f aca="false">IF($C34="","",SUMIFS(Transaktioner!$E$6:$E$505,Transaktioner!$C$6:$C$505,$C34,Transaktioner!$B$6:$B$505,"&gt;="&amp;DATE($C$3,6,1),Transaktioner!$B$6:$B$505,"&lt;"&amp;DATE($C$3,7,1)))</f>
        <v/>
      </c>
      <c r="J34" s="16" t="str">
        <f aca="false">IF($C34="","",SUMIFS(Transaktioner!$E$6:$E$505,Transaktioner!$C$6:$C$505,$C34,Transaktioner!$B$6:$B$505,"&gt;="&amp;DATE($C$3,7,1),Transaktioner!$B$6:$B$505,"&lt;"&amp;DATE($C$3,8,1)))</f>
        <v/>
      </c>
      <c r="K34" s="16" t="str">
        <f aca="false">IF($C34="","",SUMIFS(Transaktioner!$E$6:$E$505,Transaktioner!$C$6:$C$505,$C34,Transaktioner!$B$6:$B$505,"&gt;="&amp;DATE($C$3,8,1),Transaktioner!$B$6:$B$505,"&lt;"&amp;DATE($C$3,9,1)))</f>
        <v/>
      </c>
      <c r="L34" s="16" t="str">
        <f aca="false">IF($C34="","",SUMIFS(Transaktioner!$E$6:$E$505,Transaktioner!$C$6:$C$505,$C34,Transaktioner!$B$6:$B$505,"&gt;="&amp;DATE($C$3,9,1),Transaktioner!$B$6:$B$505,"&lt;"&amp;DATE($C$3,10,1)))</f>
        <v/>
      </c>
      <c r="M34" s="16" t="str">
        <f aca="false">IF($C34="","",SUMIFS(Transaktioner!$E$6:$E$505,Transaktioner!$C$6:$C$505,$C34,Transaktioner!$B$6:$B$505,"&gt;="&amp;DATE($C$3,10,1),Transaktioner!$B$6:$B$505,"&lt;"&amp;DATE($C$3,11,1)))</f>
        <v/>
      </c>
      <c r="N34" s="16" t="str">
        <f aca="false">IF($C34="","",SUMIFS(Transaktioner!$E$6:$E$505,Transaktioner!$C$6:$C$505,$C34,Transaktioner!$B$6:$B$505,"&gt;="&amp;DATE($C$3,11,1),Transaktioner!$B$6:$B$505,"&lt;"&amp;DATE($C$3,12,1)))</f>
        <v/>
      </c>
      <c r="O34" s="16" t="str">
        <f aca="false">IF($C34="","",SUMIFS(Transaktioner!$E$6:$E$505,Transaktioner!$C$6:$C$505,$C34,Transaktioner!$B$6:$B$505,"&gt;="&amp;DATE($C$3,12,1),Transaktioner!$B$6:$B$505,"&lt;"&amp;DATE($C$3,13,1)))</f>
        <v/>
      </c>
      <c r="P34" s="17" t="str">
        <f aca="false">IF($C34="","",SUM(D34:O34))</f>
        <v/>
      </c>
      <c r="Q34" s="16" t="str">
        <f aca="false">IF($C34="","",Kategorier!$D$30*12)</f>
        <v/>
      </c>
      <c r="R34" s="16" t="str">
        <f aca="false">IF($C34="","",IF($B34="Inkomst",P34-Q34,Q34-P34))</f>
        <v/>
      </c>
      <c r="S34" s="18" t="str">
        <f aca="false">IF(OR($C34="",N(Q34)=0),"",P34/Q34)</f>
        <v/>
      </c>
    </row>
    <row r="35" customFormat="false" ht="15" hidden="false" customHeight="false" outlineLevel="0" collapsed="false">
      <c r="B35" s="19" t="str">
        <f aca="false">IF(Kategorier!$C$31="","",Kategorier!$B$31)</f>
        <v/>
      </c>
      <c r="C35" s="20" t="str">
        <f aca="false">IF(Kategorier!$C$31="","",Kategorier!$C$31)</f>
        <v/>
      </c>
      <c r="D35" s="21" t="str">
        <f aca="false">IF($C35="","",SUMIFS(Transaktioner!$E$6:$E$505,Transaktioner!$C$6:$C$505,$C35,Transaktioner!$B$6:$B$505,"&gt;="&amp;DATE($C$3,1,1),Transaktioner!$B$6:$B$505,"&lt;"&amp;DATE($C$3,2,1)))</f>
        <v/>
      </c>
      <c r="E35" s="21" t="str">
        <f aca="false">IF($C35="","",SUMIFS(Transaktioner!$E$6:$E$505,Transaktioner!$C$6:$C$505,$C35,Transaktioner!$B$6:$B$505,"&gt;="&amp;DATE($C$3,2,1),Transaktioner!$B$6:$B$505,"&lt;"&amp;DATE($C$3,3,1)))</f>
        <v/>
      </c>
      <c r="F35" s="21" t="str">
        <f aca="false">IF($C35="","",SUMIFS(Transaktioner!$E$6:$E$505,Transaktioner!$C$6:$C$505,$C35,Transaktioner!$B$6:$B$505,"&gt;="&amp;DATE($C$3,3,1),Transaktioner!$B$6:$B$505,"&lt;"&amp;DATE($C$3,4,1)))</f>
        <v/>
      </c>
      <c r="G35" s="21" t="str">
        <f aca="false">IF($C35="","",SUMIFS(Transaktioner!$E$6:$E$505,Transaktioner!$C$6:$C$505,$C35,Transaktioner!$B$6:$B$505,"&gt;="&amp;DATE($C$3,4,1),Transaktioner!$B$6:$B$505,"&lt;"&amp;DATE($C$3,5,1)))</f>
        <v/>
      </c>
      <c r="H35" s="21" t="str">
        <f aca="false">IF($C35="","",SUMIFS(Transaktioner!$E$6:$E$505,Transaktioner!$C$6:$C$505,$C35,Transaktioner!$B$6:$B$505,"&gt;="&amp;DATE($C$3,5,1),Transaktioner!$B$6:$B$505,"&lt;"&amp;DATE($C$3,6,1)))</f>
        <v/>
      </c>
      <c r="I35" s="21" t="str">
        <f aca="false">IF($C35="","",SUMIFS(Transaktioner!$E$6:$E$505,Transaktioner!$C$6:$C$505,$C35,Transaktioner!$B$6:$B$505,"&gt;="&amp;DATE($C$3,6,1),Transaktioner!$B$6:$B$505,"&lt;"&amp;DATE($C$3,7,1)))</f>
        <v/>
      </c>
      <c r="J35" s="21" t="str">
        <f aca="false">IF($C35="","",SUMIFS(Transaktioner!$E$6:$E$505,Transaktioner!$C$6:$C$505,$C35,Transaktioner!$B$6:$B$505,"&gt;="&amp;DATE($C$3,7,1),Transaktioner!$B$6:$B$505,"&lt;"&amp;DATE($C$3,8,1)))</f>
        <v/>
      </c>
      <c r="K35" s="21" t="str">
        <f aca="false">IF($C35="","",SUMIFS(Transaktioner!$E$6:$E$505,Transaktioner!$C$6:$C$505,$C35,Transaktioner!$B$6:$B$505,"&gt;="&amp;DATE($C$3,8,1),Transaktioner!$B$6:$B$505,"&lt;"&amp;DATE($C$3,9,1)))</f>
        <v/>
      </c>
      <c r="L35" s="21" t="str">
        <f aca="false">IF($C35="","",SUMIFS(Transaktioner!$E$6:$E$505,Transaktioner!$C$6:$C$505,$C35,Transaktioner!$B$6:$B$505,"&gt;="&amp;DATE($C$3,9,1),Transaktioner!$B$6:$B$505,"&lt;"&amp;DATE($C$3,10,1)))</f>
        <v/>
      </c>
      <c r="M35" s="21" t="str">
        <f aca="false">IF($C35="","",SUMIFS(Transaktioner!$E$6:$E$505,Transaktioner!$C$6:$C$505,$C35,Transaktioner!$B$6:$B$505,"&gt;="&amp;DATE($C$3,10,1),Transaktioner!$B$6:$B$505,"&lt;"&amp;DATE($C$3,11,1)))</f>
        <v/>
      </c>
      <c r="N35" s="21" t="str">
        <f aca="false">IF($C35="","",SUMIFS(Transaktioner!$E$6:$E$505,Transaktioner!$C$6:$C$505,$C35,Transaktioner!$B$6:$B$505,"&gt;="&amp;DATE($C$3,11,1),Transaktioner!$B$6:$B$505,"&lt;"&amp;DATE($C$3,12,1)))</f>
        <v/>
      </c>
      <c r="O35" s="21" t="str">
        <f aca="false">IF($C35="","",SUMIFS(Transaktioner!$E$6:$E$505,Transaktioner!$C$6:$C$505,$C35,Transaktioner!$B$6:$B$505,"&gt;="&amp;DATE($C$3,12,1),Transaktioner!$B$6:$B$505,"&lt;"&amp;DATE($C$3,13,1)))</f>
        <v/>
      </c>
      <c r="P35" s="22" t="str">
        <f aca="false">IF($C35="","",SUM(D35:O35))</f>
        <v/>
      </c>
      <c r="Q35" s="21" t="str">
        <f aca="false">IF($C35="","",Kategorier!$D$31*12)</f>
        <v/>
      </c>
      <c r="R35" s="21" t="str">
        <f aca="false">IF($C35="","",IF($B35="Inkomst",P35-Q35,Q35-P35))</f>
        <v/>
      </c>
      <c r="S35" s="23" t="str">
        <f aca="false">IF(OR($C35="",N(Q35)=0),"",P35/Q35)</f>
        <v/>
      </c>
    </row>
    <row r="36" customFormat="false" ht="15" hidden="false" customHeight="false" outlineLevel="0" collapsed="false">
      <c r="B36" s="14" t="str">
        <f aca="false">IF(Kategorier!$C$32="","",Kategorier!$B$32)</f>
        <v/>
      </c>
      <c r="C36" s="15" t="str">
        <f aca="false">IF(Kategorier!$C$32="","",Kategorier!$C$32)</f>
        <v/>
      </c>
      <c r="D36" s="16" t="str">
        <f aca="false">IF($C36="","",SUMIFS(Transaktioner!$E$6:$E$505,Transaktioner!$C$6:$C$505,$C36,Transaktioner!$B$6:$B$505,"&gt;="&amp;DATE($C$3,1,1),Transaktioner!$B$6:$B$505,"&lt;"&amp;DATE($C$3,2,1)))</f>
        <v/>
      </c>
      <c r="E36" s="16" t="str">
        <f aca="false">IF($C36="","",SUMIFS(Transaktioner!$E$6:$E$505,Transaktioner!$C$6:$C$505,$C36,Transaktioner!$B$6:$B$505,"&gt;="&amp;DATE($C$3,2,1),Transaktioner!$B$6:$B$505,"&lt;"&amp;DATE($C$3,3,1)))</f>
        <v/>
      </c>
      <c r="F36" s="16" t="str">
        <f aca="false">IF($C36="","",SUMIFS(Transaktioner!$E$6:$E$505,Transaktioner!$C$6:$C$505,$C36,Transaktioner!$B$6:$B$505,"&gt;="&amp;DATE($C$3,3,1),Transaktioner!$B$6:$B$505,"&lt;"&amp;DATE($C$3,4,1)))</f>
        <v/>
      </c>
      <c r="G36" s="16" t="str">
        <f aca="false">IF($C36="","",SUMIFS(Transaktioner!$E$6:$E$505,Transaktioner!$C$6:$C$505,$C36,Transaktioner!$B$6:$B$505,"&gt;="&amp;DATE($C$3,4,1),Transaktioner!$B$6:$B$505,"&lt;"&amp;DATE($C$3,5,1)))</f>
        <v/>
      </c>
      <c r="H36" s="16" t="str">
        <f aca="false">IF($C36="","",SUMIFS(Transaktioner!$E$6:$E$505,Transaktioner!$C$6:$C$505,$C36,Transaktioner!$B$6:$B$505,"&gt;="&amp;DATE($C$3,5,1),Transaktioner!$B$6:$B$505,"&lt;"&amp;DATE($C$3,6,1)))</f>
        <v/>
      </c>
      <c r="I36" s="16" t="str">
        <f aca="false">IF($C36="","",SUMIFS(Transaktioner!$E$6:$E$505,Transaktioner!$C$6:$C$505,$C36,Transaktioner!$B$6:$B$505,"&gt;="&amp;DATE($C$3,6,1),Transaktioner!$B$6:$B$505,"&lt;"&amp;DATE($C$3,7,1)))</f>
        <v/>
      </c>
      <c r="J36" s="16" t="str">
        <f aca="false">IF($C36="","",SUMIFS(Transaktioner!$E$6:$E$505,Transaktioner!$C$6:$C$505,$C36,Transaktioner!$B$6:$B$505,"&gt;="&amp;DATE($C$3,7,1),Transaktioner!$B$6:$B$505,"&lt;"&amp;DATE($C$3,8,1)))</f>
        <v/>
      </c>
      <c r="K36" s="16" t="str">
        <f aca="false">IF($C36="","",SUMIFS(Transaktioner!$E$6:$E$505,Transaktioner!$C$6:$C$505,$C36,Transaktioner!$B$6:$B$505,"&gt;="&amp;DATE($C$3,8,1),Transaktioner!$B$6:$B$505,"&lt;"&amp;DATE($C$3,9,1)))</f>
        <v/>
      </c>
      <c r="L36" s="16" t="str">
        <f aca="false">IF($C36="","",SUMIFS(Transaktioner!$E$6:$E$505,Transaktioner!$C$6:$C$505,$C36,Transaktioner!$B$6:$B$505,"&gt;="&amp;DATE($C$3,9,1),Transaktioner!$B$6:$B$505,"&lt;"&amp;DATE($C$3,10,1)))</f>
        <v/>
      </c>
      <c r="M36" s="16" t="str">
        <f aca="false">IF($C36="","",SUMIFS(Transaktioner!$E$6:$E$505,Transaktioner!$C$6:$C$505,$C36,Transaktioner!$B$6:$B$505,"&gt;="&amp;DATE($C$3,10,1),Transaktioner!$B$6:$B$505,"&lt;"&amp;DATE($C$3,11,1)))</f>
        <v/>
      </c>
      <c r="N36" s="16" t="str">
        <f aca="false">IF($C36="","",SUMIFS(Transaktioner!$E$6:$E$505,Transaktioner!$C$6:$C$505,$C36,Transaktioner!$B$6:$B$505,"&gt;="&amp;DATE($C$3,11,1),Transaktioner!$B$6:$B$505,"&lt;"&amp;DATE($C$3,12,1)))</f>
        <v/>
      </c>
      <c r="O36" s="16" t="str">
        <f aca="false">IF($C36="","",SUMIFS(Transaktioner!$E$6:$E$505,Transaktioner!$C$6:$C$505,$C36,Transaktioner!$B$6:$B$505,"&gt;="&amp;DATE($C$3,12,1),Transaktioner!$B$6:$B$505,"&lt;"&amp;DATE($C$3,13,1)))</f>
        <v/>
      </c>
      <c r="P36" s="17" t="str">
        <f aca="false">IF($C36="","",SUM(D36:O36))</f>
        <v/>
      </c>
      <c r="Q36" s="16" t="str">
        <f aca="false">IF($C36="","",Kategorier!$D$32*12)</f>
        <v/>
      </c>
      <c r="R36" s="16" t="str">
        <f aca="false">IF($C36="","",IF($B36="Inkomst",P36-Q36,Q36-P36))</f>
        <v/>
      </c>
      <c r="S36" s="18" t="str">
        <f aca="false">IF(OR($C36="",N(Q36)=0),"",P36/Q36)</f>
        <v/>
      </c>
    </row>
    <row r="37" customFormat="false" ht="15" hidden="false" customHeight="false" outlineLevel="0" collapsed="false">
      <c r="B37" s="19" t="str">
        <f aca="false">IF(Kategorier!$C$33="","",Kategorier!$B$33)</f>
        <v/>
      </c>
      <c r="C37" s="20" t="str">
        <f aca="false">IF(Kategorier!$C$33="","",Kategorier!$C$33)</f>
        <v/>
      </c>
      <c r="D37" s="21" t="str">
        <f aca="false">IF($C37="","",SUMIFS(Transaktioner!$E$6:$E$505,Transaktioner!$C$6:$C$505,$C37,Transaktioner!$B$6:$B$505,"&gt;="&amp;DATE($C$3,1,1),Transaktioner!$B$6:$B$505,"&lt;"&amp;DATE($C$3,2,1)))</f>
        <v/>
      </c>
      <c r="E37" s="21" t="str">
        <f aca="false">IF($C37="","",SUMIFS(Transaktioner!$E$6:$E$505,Transaktioner!$C$6:$C$505,$C37,Transaktioner!$B$6:$B$505,"&gt;="&amp;DATE($C$3,2,1),Transaktioner!$B$6:$B$505,"&lt;"&amp;DATE($C$3,3,1)))</f>
        <v/>
      </c>
      <c r="F37" s="21" t="str">
        <f aca="false">IF($C37="","",SUMIFS(Transaktioner!$E$6:$E$505,Transaktioner!$C$6:$C$505,$C37,Transaktioner!$B$6:$B$505,"&gt;="&amp;DATE($C$3,3,1),Transaktioner!$B$6:$B$505,"&lt;"&amp;DATE($C$3,4,1)))</f>
        <v/>
      </c>
      <c r="G37" s="21" t="str">
        <f aca="false">IF($C37="","",SUMIFS(Transaktioner!$E$6:$E$505,Transaktioner!$C$6:$C$505,$C37,Transaktioner!$B$6:$B$505,"&gt;="&amp;DATE($C$3,4,1),Transaktioner!$B$6:$B$505,"&lt;"&amp;DATE($C$3,5,1)))</f>
        <v/>
      </c>
      <c r="H37" s="21" t="str">
        <f aca="false">IF($C37="","",SUMIFS(Transaktioner!$E$6:$E$505,Transaktioner!$C$6:$C$505,$C37,Transaktioner!$B$6:$B$505,"&gt;="&amp;DATE($C$3,5,1),Transaktioner!$B$6:$B$505,"&lt;"&amp;DATE($C$3,6,1)))</f>
        <v/>
      </c>
      <c r="I37" s="21" t="str">
        <f aca="false">IF($C37="","",SUMIFS(Transaktioner!$E$6:$E$505,Transaktioner!$C$6:$C$505,$C37,Transaktioner!$B$6:$B$505,"&gt;="&amp;DATE($C$3,6,1),Transaktioner!$B$6:$B$505,"&lt;"&amp;DATE($C$3,7,1)))</f>
        <v/>
      </c>
      <c r="J37" s="21" t="str">
        <f aca="false">IF($C37="","",SUMIFS(Transaktioner!$E$6:$E$505,Transaktioner!$C$6:$C$505,$C37,Transaktioner!$B$6:$B$505,"&gt;="&amp;DATE($C$3,7,1),Transaktioner!$B$6:$B$505,"&lt;"&amp;DATE($C$3,8,1)))</f>
        <v/>
      </c>
      <c r="K37" s="21" t="str">
        <f aca="false">IF($C37="","",SUMIFS(Transaktioner!$E$6:$E$505,Transaktioner!$C$6:$C$505,$C37,Transaktioner!$B$6:$B$505,"&gt;="&amp;DATE($C$3,8,1),Transaktioner!$B$6:$B$505,"&lt;"&amp;DATE($C$3,9,1)))</f>
        <v/>
      </c>
      <c r="L37" s="21" t="str">
        <f aca="false">IF($C37="","",SUMIFS(Transaktioner!$E$6:$E$505,Transaktioner!$C$6:$C$505,$C37,Transaktioner!$B$6:$B$505,"&gt;="&amp;DATE($C$3,9,1),Transaktioner!$B$6:$B$505,"&lt;"&amp;DATE($C$3,10,1)))</f>
        <v/>
      </c>
      <c r="M37" s="21" t="str">
        <f aca="false">IF($C37="","",SUMIFS(Transaktioner!$E$6:$E$505,Transaktioner!$C$6:$C$505,$C37,Transaktioner!$B$6:$B$505,"&gt;="&amp;DATE($C$3,10,1),Transaktioner!$B$6:$B$505,"&lt;"&amp;DATE($C$3,11,1)))</f>
        <v/>
      </c>
      <c r="N37" s="21" t="str">
        <f aca="false">IF($C37="","",SUMIFS(Transaktioner!$E$6:$E$505,Transaktioner!$C$6:$C$505,$C37,Transaktioner!$B$6:$B$505,"&gt;="&amp;DATE($C$3,11,1),Transaktioner!$B$6:$B$505,"&lt;"&amp;DATE($C$3,12,1)))</f>
        <v/>
      </c>
      <c r="O37" s="21" t="str">
        <f aca="false">IF($C37="","",SUMIFS(Transaktioner!$E$6:$E$505,Transaktioner!$C$6:$C$505,$C37,Transaktioner!$B$6:$B$505,"&gt;="&amp;DATE($C$3,12,1),Transaktioner!$B$6:$B$505,"&lt;"&amp;DATE($C$3,13,1)))</f>
        <v/>
      </c>
      <c r="P37" s="22" t="str">
        <f aca="false">IF($C37="","",SUM(D37:O37))</f>
        <v/>
      </c>
      <c r="Q37" s="21" t="str">
        <f aca="false">IF($C37="","",Kategorier!$D$33*12)</f>
        <v/>
      </c>
      <c r="R37" s="21" t="str">
        <f aca="false">IF($C37="","",IF($B37="Inkomst",P37-Q37,Q37-P37))</f>
        <v/>
      </c>
      <c r="S37" s="23" t="str">
        <f aca="false">IF(OR($C37="",N(Q37)=0),"",P37/Q37)</f>
        <v/>
      </c>
    </row>
    <row r="38" customFormat="false" ht="15" hidden="false" customHeight="false" outlineLevel="0" collapsed="false">
      <c r="B38" s="14" t="str">
        <f aca="false">IF(Kategorier!$C$34="","",Kategorier!$B$34)</f>
        <v/>
      </c>
      <c r="C38" s="15" t="str">
        <f aca="false">IF(Kategorier!$C$34="","",Kategorier!$C$34)</f>
        <v/>
      </c>
      <c r="D38" s="16" t="str">
        <f aca="false">IF($C38="","",SUMIFS(Transaktioner!$E$6:$E$505,Transaktioner!$C$6:$C$505,$C38,Transaktioner!$B$6:$B$505,"&gt;="&amp;DATE($C$3,1,1),Transaktioner!$B$6:$B$505,"&lt;"&amp;DATE($C$3,2,1)))</f>
        <v/>
      </c>
      <c r="E38" s="16" t="str">
        <f aca="false">IF($C38="","",SUMIFS(Transaktioner!$E$6:$E$505,Transaktioner!$C$6:$C$505,$C38,Transaktioner!$B$6:$B$505,"&gt;="&amp;DATE($C$3,2,1),Transaktioner!$B$6:$B$505,"&lt;"&amp;DATE($C$3,3,1)))</f>
        <v/>
      </c>
      <c r="F38" s="16" t="str">
        <f aca="false">IF($C38="","",SUMIFS(Transaktioner!$E$6:$E$505,Transaktioner!$C$6:$C$505,$C38,Transaktioner!$B$6:$B$505,"&gt;="&amp;DATE($C$3,3,1),Transaktioner!$B$6:$B$505,"&lt;"&amp;DATE($C$3,4,1)))</f>
        <v/>
      </c>
      <c r="G38" s="16" t="str">
        <f aca="false">IF($C38="","",SUMIFS(Transaktioner!$E$6:$E$505,Transaktioner!$C$6:$C$505,$C38,Transaktioner!$B$6:$B$505,"&gt;="&amp;DATE($C$3,4,1),Transaktioner!$B$6:$B$505,"&lt;"&amp;DATE($C$3,5,1)))</f>
        <v/>
      </c>
      <c r="H38" s="16" t="str">
        <f aca="false">IF($C38="","",SUMIFS(Transaktioner!$E$6:$E$505,Transaktioner!$C$6:$C$505,$C38,Transaktioner!$B$6:$B$505,"&gt;="&amp;DATE($C$3,5,1),Transaktioner!$B$6:$B$505,"&lt;"&amp;DATE($C$3,6,1)))</f>
        <v/>
      </c>
      <c r="I38" s="16" t="str">
        <f aca="false">IF($C38="","",SUMIFS(Transaktioner!$E$6:$E$505,Transaktioner!$C$6:$C$505,$C38,Transaktioner!$B$6:$B$505,"&gt;="&amp;DATE($C$3,6,1),Transaktioner!$B$6:$B$505,"&lt;"&amp;DATE($C$3,7,1)))</f>
        <v/>
      </c>
      <c r="J38" s="16" t="str">
        <f aca="false">IF($C38="","",SUMIFS(Transaktioner!$E$6:$E$505,Transaktioner!$C$6:$C$505,$C38,Transaktioner!$B$6:$B$505,"&gt;="&amp;DATE($C$3,7,1),Transaktioner!$B$6:$B$505,"&lt;"&amp;DATE($C$3,8,1)))</f>
        <v/>
      </c>
      <c r="K38" s="16" t="str">
        <f aca="false">IF($C38="","",SUMIFS(Transaktioner!$E$6:$E$505,Transaktioner!$C$6:$C$505,$C38,Transaktioner!$B$6:$B$505,"&gt;="&amp;DATE($C$3,8,1),Transaktioner!$B$6:$B$505,"&lt;"&amp;DATE($C$3,9,1)))</f>
        <v/>
      </c>
      <c r="L38" s="16" t="str">
        <f aca="false">IF($C38="","",SUMIFS(Transaktioner!$E$6:$E$505,Transaktioner!$C$6:$C$505,$C38,Transaktioner!$B$6:$B$505,"&gt;="&amp;DATE($C$3,9,1),Transaktioner!$B$6:$B$505,"&lt;"&amp;DATE($C$3,10,1)))</f>
        <v/>
      </c>
      <c r="M38" s="16" t="str">
        <f aca="false">IF($C38="","",SUMIFS(Transaktioner!$E$6:$E$505,Transaktioner!$C$6:$C$505,$C38,Transaktioner!$B$6:$B$505,"&gt;="&amp;DATE($C$3,10,1),Transaktioner!$B$6:$B$505,"&lt;"&amp;DATE($C$3,11,1)))</f>
        <v/>
      </c>
      <c r="N38" s="16" t="str">
        <f aca="false">IF($C38="","",SUMIFS(Transaktioner!$E$6:$E$505,Transaktioner!$C$6:$C$505,$C38,Transaktioner!$B$6:$B$505,"&gt;="&amp;DATE($C$3,11,1),Transaktioner!$B$6:$B$505,"&lt;"&amp;DATE($C$3,12,1)))</f>
        <v/>
      </c>
      <c r="O38" s="16" t="str">
        <f aca="false">IF($C38="","",SUMIFS(Transaktioner!$E$6:$E$505,Transaktioner!$C$6:$C$505,$C38,Transaktioner!$B$6:$B$505,"&gt;="&amp;DATE($C$3,12,1),Transaktioner!$B$6:$B$505,"&lt;"&amp;DATE($C$3,13,1)))</f>
        <v/>
      </c>
      <c r="P38" s="17" t="str">
        <f aca="false">IF($C38="","",SUM(D38:O38))</f>
        <v/>
      </c>
      <c r="Q38" s="16" t="str">
        <f aca="false">IF($C38="","",Kategorier!$D$34*12)</f>
        <v/>
      </c>
      <c r="R38" s="16" t="str">
        <f aca="false">IF($C38="","",IF($B38="Inkomst",P38-Q38,Q38-P38))</f>
        <v/>
      </c>
      <c r="S38" s="18" t="str">
        <f aca="false">IF(OR($C38="",N(Q38)=0),"",P38/Q38)</f>
        <v/>
      </c>
    </row>
    <row r="39" customFormat="false" ht="15" hidden="false" customHeight="false" outlineLevel="0" collapsed="false">
      <c r="B39" s="19" t="str">
        <f aca="false">IF(Kategorier!$C$35="","",Kategorier!$B$35)</f>
        <v/>
      </c>
      <c r="C39" s="20" t="str">
        <f aca="false">IF(Kategorier!$C$35="","",Kategorier!$C$35)</f>
        <v/>
      </c>
      <c r="D39" s="21" t="str">
        <f aca="false">IF($C39="","",SUMIFS(Transaktioner!$E$6:$E$505,Transaktioner!$C$6:$C$505,$C39,Transaktioner!$B$6:$B$505,"&gt;="&amp;DATE($C$3,1,1),Transaktioner!$B$6:$B$505,"&lt;"&amp;DATE($C$3,2,1)))</f>
        <v/>
      </c>
      <c r="E39" s="21" t="str">
        <f aca="false">IF($C39="","",SUMIFS(Transaktioner!$E$6:$E$505,Transaktioner!$C$6:$C$505,$C39,Transaktioner!$B$6:$B$505,"&gt;="&amp;DATE($C$3,2,1),Transaktioner!$B$6:$B$505,"&lt;"&amp;DATE($C$3,3,1)))</f>
        <v/>
      </c>
      <c r="F39" s="21" t="str">
        <f aca="false">IF($C39="","",SUMIFS(Transaktioner!$E$6:$E$505,Transaktioner!$C$6:$C$505,$C39,Transaktioner!$B$6:$B$505,"&gt;="&amp;DATE($C$3,3,1),Transaktioner!$B$6:$B$505,"&lt;"&amp;DATE($C$3,4,1)))</f>
        <v/>
      </c>
      <c r="G39" s="21" t="str">
        <f aca="false">IF($C39="","",SUMIFS(Transaktioner!$E$6:$E$505,Transaktioner!$C$6:$C$505,$C39,Transaktioner!$B$6:$B$505,"&gt;="&amp;DATE($C$3,4,1),Transaktioner!$B$6:$B$505,"&lt;"&amp;DATE($C$3,5,1)))</f>
        <v/>
      </c>
      <c r="H39" s="21" t="str">
        <f aca="false">IF($C39="","",SUMIFS(Transaktioner!$E$6:$E$505,Transaktioner!$C$6:$C$505,$C39,Transaktioner!$B$6:$B$505,"&gt;="&amp;DATE($C$3,5,1),Transaktioner!$B$6:$B$505,"&lt;"&amp;DATE($C$3,6,1)))</f>
        <v/>
      </c>
      <c r="I39" s="21" t="str">
        <f aca="false">IF($C39="","",SUMIFS(Transaktioner!$E$6:$E$505,Transaktioner!$C$6:$C$505,$C39,Transaktioner!$B$6:$B$505,"&gt;="&amp;DATE($C$3,6,1),Transaktioner!$B$6:$B$505,"&lt;"&amp;DATE($C$3,7,1)))</f>
        <v/>
      </c>
      <c r="J39" s="21" t="str">
        <f aca="false">IF($C39="","",SUMIFS(Transaktioner!$E$6:$E$505,Transaktioner!$C$6:$C$505,$C39,Transaktioner!$B$6:$B$505,"&gt;="&amp;DATE($C$3,7,1),Transaktioner!$B$6:$B$505,"&lt;"&amp;DATE($C$3,8,1)))</f>
        <v/>
      </c>
      <c r="K39" s="21" t="str">
        <f aca="false">IF($C39="","",SUMIFS(Transaktioner!$E$6:$E$505,Transaktioner!$C$6:$C$505,$C39,Transaktioner!$B$6:$B$505,"&gt;="&amp;DATE($C$3,8,1),Transaktioner!$B$6:$B$505,"&lt;"&amp;DATE($C$3,9,1)))</f>
        <v/>
      </c>
      <c r="L39" s="21" t="str">
        <f aca="false">IF($C39="","",SUMIFS(Transaktioner!$E$6:$E$505,Transaktioner!$C$6:$C$505,$C39,Transaktioner!$B$6:$B$505,"&gt;="&amp;DATE($C$3,9,1),Transaktioner!$B$6:$B$505,"&lt;"&amp;DATE($C$3,10,1)))</f>
        <v/>
      </c>
      <c r="M39" s="21" t="str">
        <f aca="false">IF($C39="","",SUMIFS(Transaktioner!$E$6:$E$505,Transaktioner!$C$6:$C$505,$C39,Transaktioner!$B$6:$B$505,"&gt;="&amp;DATE($C$3,10,1),Transaktioner!$B$6:$B$505,"&lt;"&amp;DATE($C$3,11,1)))</f>
        <v/>
      </c>
      <c r="N39" s="21" t="str">
        <f aca="false">IF($C39="","",SUMIFS(Transaktioner!$E$6:$E$505,Transaktioner!$C$6:$C$505,$C39,Transaktioner!$B$6:$B$505,"&gt;="&amp;DATE($C$3,11,1),Transaktioner!$B$6:$B$505,"&lt;"&amp;DATE($C$3,12,1)))</f>
        <v/>
      </c>
      <c r="O39" s="21" t="str">
        <f aca="false">IF($C39="","",SUMIFS(Transaktioner!$E$6:$E$505,Transaktioner!$C$6:$C$505,$C39,Transaktioner!$B$6:$B$505,"&gt;="&amp;DATE($C$3,12,1),Transaktioner!$B$6:$B$505,"&lt;"&amp;DATE($C$3,13,1)))</f>
        <v/>
      </c>
      <c r="P39" s="22" t="str">
        <f aca="false">IF($C39="","",SUM(D39:O39))</f>
        <v/>
      </c>
      <c r="Q39" s="21" t="str">
        <f aca="false">IF($C39="","",Kategorier!$D$35*12)</f>
        <v/>
      </c>
      <c r="R39" s="21" t="str">
        <f aca="false">IF($C39="","",IF($B39="Inkomst",P39-Q39,Q39-P39))</f>
        <v/>
      </c>
      <c r="S39" s="23" t="str">
        <f aca="false">IF(OR($C39="",N(Q39)=0),"",P39/Q39)</f>
        <v/>
      </c>
    </row>
    <row r="40" customFormat="false" ht="15" hidden="false" customHeight="false" outlineLevel="0" collapsed="false">
      <c r="B40" s="14" t="str">
        <f aca="false">IF(Kategorier!$C$36="","",Kategorier!$B$36)</f>
        <v/>
      </c>
      <c r="C40" s="15" t="str">
        <f aca="false">IF(Kategorier!$C$36="","",Kategorier!$C$36)</f>
        <v/>
      </c>
      <c r="D40" s="16" t="str">
        <f aca="false">IF($C40="","",SUMIFS(Transaktioner!$E$6:$E$505,Transaktioner!$C$6:$C$505,$C40,Transaktioner!$B$6:$B$505,"&gt;="&amp;DATE($C$3,1,1),Transaktioner!$B$6:$B$505,"&lt;"&amp;DATE($C$3,2,1)))</f>
        <v/>
      </c>
      <c r="E40" s="16" t="str">
        <f aca="false">IF($C40="","",SUMIFS(Transaktioner!$E$6:$E$505,Transaktioner!$C$6:$C$505,$C40,Transaktioner!$B$6:$B$505,"&gt;="&amp;DATE($C$3,2,1),Transaktioner!$B$6:$B$505,"&lt;"&amp;DATE($C$3,3,1)))</f>
        <v/>
      </c>
      <c r="F40" s="16" t="str">
        <f aca="false">IF($C40="","",SUMIFS(Transaktioner!$E$6:$E$505,Transaktioner!$C$6:$C$505,$C40,Transaktioner!$B$6:$B$505,"&gt;="&amp;DATE($C$3,3,1),Transaktioner!$B$6:$B$505,"&lt;"&amp;DATE($C$3,4,1)))</f>
        <v/>
      </c>
      <c r="G40" s="16" t="str">
        <f aca="false">IF($C40="","",SUMIFS(Transaktioner!$E$6:$E$505,Transaktioner!$C$6:$C$505,$C40,Transaktioner!$B$6:$B$505,"&gt;="&amp;DATE($C$3,4,1),Transaktioner!$B$6:$B$505,"&lt;"&amp;DATE($C$3,5,1)))</f>
        <v/>
      </c>
      <c r="H40" s="16" t="str">
        <f aca="false">IF($C40="","",SUMIFS(Transaktioner!$E$6:$E$505,Transaktioner!$C$6:$C$505,$C40,Transaktioner!$B$6:$B$505,"&gt;="&amp;DATE($C$3,5,1),Transaktioner!$B$6:$B$505,"&lt;"&amp;DATE($C$3,6,1)))</f>
        <v/>
      </c>
      <c r="I40" s="16" t="str">
        <f aca="false">IF($C40="","",SUMIFS(Transaktioner!$E$6:$E$505,Transaktioner!$C$6:$C$505,$C40,Transaktioner!$B$6:$B$505,"&gt;="&amp;DATE($C$3,6,1),Transaktioner!$B$6:$B$505,"&lt;"&amp;DATE($C$3,7,1)))</f>
        <v/>
      </c>
      <c r="J40" s="16" t="str">
        <f aca="false">IF($C40="","",SUMIFS(Transaktioner!$E$6:$E$505,Transaktioner!$C$6:$C$505,$C40,Transaktioner!$B$6:$B$505,"&gt;="&amp;DATE($C$3,7,1),Transaktioner!$B$6:$B$505,"&lt;"&amp;DATE($C$3,8,1)))</f>
        <v/>
      </c>
      <c r="K40" s="16" t="str">
        <f aca="false">IF($C40="","",SUMIFS(Transaktioner!$E$6:$E$505,Transaktioner!$C$6:$C$505,$C40,Transaktioner!$B$6:$B$505,"&gt;="&amp;DATE($C$3,8,1),Transaktioner!$B$6:$B$505,"&lt;"&amp;DATE($C$3,9,1)))</f>
        <v/>
      </c>
      <c r="L40" s="16" t="str">
        <f aca="false">IF($C40="","",SUMIFS(Transaktioner!$E$6:$E$505,Transaktioner!$C$6:$C$505,$C40,Transaktioner!$B$6:$B$505,"&gt;="&amp;DATE($C$3,9,1),Transaktioner!$B$6:$B$505,"&lt;"&amp;DATE($C$3,10,1)))</f>
        <v/>
      </c>
      <c r="M40" s="16" t="str">
        <f aca="false">IF($C40="","",SUMIFS(Transaktioner!$E$6:$E$505,Transaktioner!$C$6:$C$505,$C40,Transaktioner!$B$6:$B$505,"&gt;="&amp;DATE($C$3,10,1),Transaktioner!$B$6:$B$505,"&lt;"&amp;DATE($C$3,11,1)))</f>
        <v/>
      </c>
      <c r="N40" s="16" t="str">
        <f aca="false">IF($C40="","",SUMIFS(Transaktioner!$E$6:$E$505,Transaktioner!$C$6:$C$505,$C40,Transaktioner!$B$6:$B$505,"&gt;="&amp;DATE($C$3,11,1),Transaktioner!$B$6:$B$505,"&lt;"&amp;DATE($C$3,12,1)))</f>
        <v/>
      </c>
      <c r="O40" s="16" t="str">
        <f aca="false">IF($C40="","",SUMIFS(Transaktioner!$E$6:$E$505,Transaktioner!$C$6:$C$505,$C40,Transaktioner!$B$6:$B$505,"&gt;="&amp;DATE($C$3,12,1),Transaktioner!$B$6:$B$505,"&lt;"&amp;DATE($C$3,13,1)))</f>
        <v/>
      </c>
      <c r="P40" s="17" t="str">
        <f aca="false">IF($C40="","",SUM(D40:O40))</f>
        <v/>
      </c>
      <c r="Q40" s="16" t="str">
        <f aca="false">IF($C40="","",Kategorier!$D$36*12)</f>
        <v/>
      </c>
      <c r="R40" s="16" t="str">
        <f aca="false">IF($C40="","",IF($B40="Inkomst",P40-Q40,Q40-P40))</f>
        <v/>
      </c>
      <c r="S40" s="18" t="str">
        <f aca="false">IF(OR($C40="",N(Q40)=0),"",P40/Q40)</f>
        <v/>
      </c>
    </row>
    <row r="41" customFormat="false" ht="15" hidden="false" customHeight="false" outlineLevel="0" collapsed="false">
      <c r="B41" s="19" t="str">
        <f aca="false">IF(Kategorier!$C$37="","",Kategorier!$B$37)</f>
        <v/>
      </c>
      <c r="C41" s="20" t="str">
        <f aca="false">IF(Kategorier!$C$37="","",Kategorier!$C$37)</f>
        <v/>
      </c>
      <c r="D41" s="21" t="str">
        <f aca="false">IF($C41="","",SUMIFS(Transaktioner!$E$6:$E$505,Transaktioner!$C$6:$C$505,$C41,Transaktioner!$B$6:$B$505,"&gt;="&amp;DATE($C$3,1,1),Transaktioner!$B$6:$B$505,"&lt;"&amp;DATE($C$3,2,1)))</f>
        <v/>
      </c>
      <c r="E41" s="21" t="str">
        <f aca="false">IF($C41="","",SUMIFS(Transaktioner!$E$6:$E$505,Transaktioner!$C$6:$C$505,$C41,Transaktioner!$B$6:$B$505,"&gt;="&amp;DATE($C$3,2,1),Transaktioner!$B$6:$B$505,"&lt;"&amp;DATE($C$3,3,1)))</f>
        <v/>
      </c>
      <c r="F41" s="21" t="str">
        <f aca="false">IF($C41="","",SUMIFS(Transaktioner!$E$6:$E$505,Transaktioner!$C$6:$C$505,$C41,Transaktioner!$B$6:$B$505,"&gt;="&amp;DATE($C$3,3,1),Transaktioner!$B$6:$B$505,"&lt;"&amp;DATE($C$3,4,1)))</f>
        <v/>
      </c>
      <c r="G41" s="21" t="str">
        <f aca="false">IF($C41="","",SUMIFS(Transaktioner!$E$6:$E$505,Transaktioner!$C$6:$C$505,$C41,Transaktioner!$B$6:$B$505,"&gt;="&amp;DATE($C$3,4,1),Transaktioner!$B$6:$B$505,"&lt;"&amp;DATE($C$3,5,1)))</f>
        <v/>
      </c>
      <c r="H41" s="21" t="str">
        <f aca="false">IF($C41="","",SUMIFS(Transaktioner!$E$6:$E$505,Transaktioner!$C$6:$C$505,$C41,Transaktioner!$B$6:$B$505,"&gt;="&amp;DATE($C$3,5,1),Transaktioner!$B$6:$B$505,"&lt;"&amp;DATE($C$3,6,1)))</f>
        <v/>
      </c>
      <c r="I41" s="21" t="str">
        <f aca="false">IF($C41="","",SUMIFS(Transaktioner!$E$6:$E$505,Transaktioner!$C$6:$C$505,$C41,Transaktioner!$B$6:$B$505,"&gt;="&amp;DATE($C$3,6,1),Transaktioner!$B$6:$B$505,"&lt;"&amp;DATE($C$3,7,1)))</f>
        <v/>
      </c>
      <c r="J41" s="21" t="str">
        <f aca="false">IF($C41="","",SUMIFS(Transaktioner!$E$6:$E$505,Transaktioner!$C$6:$C$505,$C41,Transaktioner!$B$6:$B$505,"&gt;="&amp;DATE($C$3,7,1),Transaktioner!$B$6:$B$505,"&lt;"&amp;DATE($C$3,8,1)))</f>
        <v/>
      </c>
      <c r="K41" s="21" t="str">
        <f aca="false">IF($C41="","",SUMIFS(Transaktioner!$E$6:$E$505,Transaktioner!$C$6:$C$505,$C41,Transaktioner!$B$6:$B$505,"&gt;="&amp;DATE($C$3,8,1),Transaktioner!$B$6:$B$505,"&lt;"&amp;DATE($C$3,9,1)))</f>
        <v/>
      </c>
      <c r="L41" s="21" t="str">
        <f aca="false">IF($C41="","",SUMIFS(Transaktioner!$E$6:$E$505,Transaktioner!$C$6:$C$505,$C41,Transaktioner!$B$6:$B$505,"&gt;="&amp;DATE($C$3,9,1),Transaktioner!$B$6:$B$505,"&lt;"&amp;DATE($C$3,10,1)))</f>
        <v/>
      </c>
      <c r="M41" s="21" t="str">
        <f aca="false">IF($C41="","",SUMIFS(Transaktioner!$E$6:$E$505,Transaktioner!$C$6:$C$505,$C41,Transaktioner!$B$6:$B$505,"&gt;="&amp;DATE($C$3,10,1),Transaktioner!$B$6:$B$505,"&lt;"&amp;DATE($C$3,11,1)))</f>
        <v/>
      </c>
      <c r="N41" s="21" t="str">
        <f aca="false">IF($C41="","",SUMIFS(Transaktioner!$E$6:$E$505,Transaktioner!$C$6:$C$505,$C41,Transaktioner!$B$6:$B$505,"&gt;="&amp;DATE($C$3,11,1),Transaktioner!$B$6:$B$505,"&lt;"&amp;DATE($C$3,12,1)))</f>
        <v/>
      </c>
      <c r="O41" s="21" t="str">
        <f aca="false">IF($C41="","",SUMIFS(Transaktioner!$E$6:$E$505,Transaktioner!$C$6:$C$505,$C41,Transaktioner!$B$6:$B$505,"&gt;="&amp;DATE($C$3,12,1),Transaktioner!$B$6:$B$505,"&lt;"&amp;DATE($C$3,13,1)))</f>
        <v/>
      </c>
      <c r="P41" s="22" t="str">
        <f aca="false">IF($C41="","",SUM(D41:O41))</f>
        <v/>
      </c>
      <c r="Q41" s="21" t="str">
        <f aca="false">IF($C41="","",Kategorier!$D$37*12)</f>
        <v/>
      </c>
      <c r="R41" s="21" t="str">
        <f aca="false">IF($C41="","",IF($B41="Inkomst",P41-Q41,Q41-P41))</f>
        <v/>
      </c>
      <c r="S41" s="23" t="str">
        <f aca="false">IF(OR($C41="",N(Q41)=0),"",P41/Q41)</f>
        <v/>
      </c>
    </row>
    <row r="42" customFormat="false" ht="15" hidden="false" customHeight="false" outlineLevel="0" collapsed="false">
      <c r="B42" s="14" t="str">
        <f aca="false">IF(Kategorier!$C$38="","",Kategorier!$B$38)</f>
        <v/>
      </c>
      <c r="C42" s="15" t="str">
        <f aca="false">IF(Kategorier!$C$38="","",Kategorier!$C$38)</f>
        <v/>
      </c>
      <c r="D42" s="16" t="str">
        <f aca="false">IF($C42="","",SUMIFS(Transaktioner!$E$6:$E$505,Transaktioner!$C$6:$C$505,$C42,Transaktioner!$B$6:$B$505,"&gt;="&amp;DATE($C$3,1,1),Transaktioner!$B$6:$B$505,"&lt;"&amp;DATE($C$3,2,1)))</f>
        <v/>
      </c>
      <c r="E42" s="16" t="str">
        <f aca="false">IF($C42="","",SUMIFS(Transaktioner!$E$6:$E$505,Transaktioner!$C$6:$C$505,$C42,Transaktioner!$B$6:$B$505,"&gt;="&amp;DATE($C$3,2,1),Transaktioner!$B$6:$B$505,"&lt;"&amp;DATE($C$3,3,1)))</f>
        <v/>
      </c>
      <c r="F42" s="16" t="str">
        <f aca="false">IF($C42="","",SUMIFS(Transaktioner!$E$6:$E$505,Transaktioner!$C$6:$C$505,$C42,Transaktioner!$B$6:$B$505,"&gt;="&amp;DATE($C$3,3,1),Transaktioner!$B$6:$B$505,"&lt;"&amp;DATE($C$3,4,1)))</f>
        <v/>
      </c>
      <c r="G42" s="16" t="str">
        <f aca="false">IF($C42="","",SUMIFS(Transaktioner!$E$6:$E$505,Transaktioner!$C$6:$C$505,$C42,Transaktioner!$B$6:$B$505,"&gt;="&amp;DATE($C$3,4,1),Transaktioner!$B$6:$B$505,"&lt;"&amp;DATE($C$3,5,1)))</f>
        <v/>
      </c>
      <c r="H42" s="16" t="str">
        <f aca="false">IF($C42="","",SUMIFS(Transaktioner!$E$6:$E$505,Transaktioner!$C$6:$C$505,$C42,Transaktioner!$B$6:$B$505,"&gt;="&amp;DATE($C$3,5,1),Transaktioner!$B$6:$B$505,"&lt;"&amp;DATE($C$3,6,1)))</f>
        <v/>
      </c>
      <c r="I42" s="16" t="str">
        <f aca="false">IF($C42="","",SUMIFS(Transaktioner!$E$6:$E$505,Transaktioner!$C$6:$C$505,$C42,Transaktioner!$B$6:$B$505,"&gt;="&amp;DATE($C$3,6,1),Transaktioner!$B$6:$B$505,"&lt;"&amp;DATE($C$3,7,1)))</f>
        <v/>
      </c>
      <c r="J42" s="16" t="str">
        <f aca="false">IF($C42="","",SUMIFS(Transaktioner!$E$6:$E$505,Transaktioner!$C$6:$C$505,$C42,Transaktioner!$B$6:$B$505,"&gt;="&amp;DATE($C$3,7,1),Transaktioner!$B$6:$B$505,"&lt;"&amp;DATE($C$3,8,1)))</f>
        <v/>
      </c>
      <c r="K42" s="16" t="str">
        <f aca="false">IF($C42="","",SUMIFS(Transaktioner!$E$6:$E$505,Transaktioner!$C$6:$C$505,$C42,Transaktioner!$B$6:$B$505,"&gt;="&amp;DATE($C$3,8,1),Transaktioner!$B$6:$B$505,"&lt;"&amp;DATE($C$3,9,1)))</f>
        <v/>
      </c>
      <c r="L42" s="16" t="str">
        <f aca="false">IF($C42="","",SUMIFS(Transaktioner!$E$6:$E$505,Transaktioner!$C$6:$C$505,$C42,Transaktioner!$B$6:$B$505,"&gt;="&amp;DATE($C$3,9,1),Transaktioner!$B$6:$B$505,"&lt;"&amp;DATE($C$3,10,1)))</f>
        <v/>
      </c>
      <c r="M42" s="16" t="str">
        <f aca="false">IF($C42="","",SUMIFS(Transaktioner!$E$6:$E$505,Transaktioner!$C$6:$C$505,$C42,Transaktioner!$B$6:$B$505,"&gt;="&amp;DATE($C$3,10,1),Transaktioner!$B$6:$B$505,"&lt;"&amp;DATE($C$3,11,1)))</f>
        <v/>
      </c>
      <c r="N42" s="16" t="str">
        <f aca="false">IF($C42="","",SUMIFS(Transaktioner!$E$6:$E$505,Transaktioner!$C$6:$C$505,$C42,Transaktioner!$B$6:$B$505,"&gt;="&amp;DATE($C$3,11,1),Transaktioner!$B$6:$B$505,"&lt;"&amp;DATE($C$3,12,1)))</f>
        <v/>
      </c>
      <c r="O42" s="16" t="str">
        <f aca="false">IF($C42="","",SUMIFS(Transaktioner!$E$6:$E$505,Transaktioner!$C$6:$C$505,$C42,Transaktioner!$B$6:$B$505,"&gt;="&amp;DATE($C$3,12,1),Transaktioner!$B$6:$B$505,"&lt;"&amp;DATE($C$3,13,1)))</f>
        <v/>
      </c>
      <c r="P42" s="17" t="str">
        <f aca="false">IF($C42="","",SUM(D42:O42))</f>
        <v/>
      </c>
      <c r="Q42" s="16" t="str">
        <f aca="false">IF($C42="","",Kategorier!$D$38*12)</f>
        <v/>
      </c>
      <c r="R42" s="16" t="str">
        <f aca="false">IF($C42="","",IF($B42="Inkomst",P42-Q42,Q42-P42))</f>
        <v/>
      </c>
      <c r="S42" s="18" t="str">
        <f aca="false">IF(OR($C42="",N(Q42)=0),"",P42/Q42)</f>
        <v/>
      </c>
    </row>
    <row r="43" customFormat="false" ht="15" hidden="false" customHeight="false" outlineLevel="0" collapsed="false">
      <c r="B43" s="19" t="str">
        <f aca="false">IF(Kategorier!$C$39="","",Kategorier!$B$39)</f>
        <v/>
      </c>
      <c r="C43" s="20" t="str">
        <f aca="false">IF(Kategorier!$C$39="","",Kategorier!$C$39)</f>
        <v/>
      </c>
      <c r="D43" s="21" t="str">
        <f aca="false">IF($C43="","",SUMIFS(Transaktioner!$E$6:$E$505,Transaktioner!$C$6:$C$505,$C43,Transaktioner!$B$6:$B$505,"&gt;="&amp;DATE($C$3,1,1),Transaktioner!$B$6:$B$505,"&lt;"&amp;DATE($C$3,2,1)))</f>
        <v/>
      </c>
      <c r="E43" s="21" t="str">
        <f aca="false">IF($C43="","",SUMIFS(Transaktioner!$E$6:$E$505,Transaktioner!$C$6:$C$505,$C43,Transaktioner!$B$6:$B$505,"&gt;="&amp;DATE($C$3,2,1),Transaktioner!$B$6:$B$505,"&lt;"&amp;DATE($C$3,3,1)))</f>
        <v/>
      </c>
      <c r="F43" s="21" t="str">
        <f aca="false">IF($C43="","",SUMIFS(Transaktioner!$E$6:$E$505,Transaktioner!$C$6:$C$505,$C43,Transaktioner!$B$6:$B$505,"&gt;="&amp;DATE($C$3,3,1),Transaktioner!$B$6:$B$505,"&lt;"&amp;DATE($C$3,4,1)))</f>
        <v/>
      </c>
      <c r="G43" s="21" t="str">
        <f aca="false">IF($C43="","",SUMIFS(Transaktioner!$E$6:$E$505,Transaktioner!$C$6:$C$505,$C43,Transaktioner!$B$6:$B$505,"&gt;="&amp;DATE($C$3,4,1),Transaktioner!$B$6:$B$505,"&lt;"&amp;DATE($C$3,5,1)))</f>
        <v/>
      </c>
      <c r="H43" s="21" t="str">
        <f aca="false">IF($C43="","",SUMIFS(Transaktioner!$E$6:$E$505,Transaktioner!$C$6:$C$505,$C43,Transaktioner!$B$6:$B$505,"&gt;="&amp;DATE($C$3,5,1),Transaktioner!$B$6:$B$505,"&lt;"&amp;DATE($C$3,6,1)))</f>
        <v/>
      </c>
      <c r="I43" s="21" t="str">
        <f aca="false">IF($C43="","",SUMIFS(Transaktioner!$E$6:$E$505,Transaktioner!$C$6:$C$505,$C43,Transaktioner!$B$6:$B$505,"&gt;="&amp;DATE($C$3,6,1),Transaktioner!$B$6:$B$505,"&lt;"&amp;DATE($C$3,7,1)))</f>
        <v/>
      </c>
      <c r="J43" s="21" t="str">
        <f aca="false">IF($C43="","",SUMIFS(Transaktioner!$E$6:$E$505,Transaktioner!$C$6:$C$505,$C43,Transaktioner!$B$6:$B$505,"&gt;="&amp;DATE($C$3,7,1),Transaktioner!$B$6:$B$505,"&lt;"&amp;DATE($C$3,8,1)))</f>
        <v/>
      </c>
      <c r="K43" s="21" t="str">
        <f aca="false">IF($C43="","",SUMIFS(Transaktioner!$E$6:$E$505,Transaktioner!$C$6:$C$505,$C43,Transaktioner!$B$6:$B$505,"&gt;="&amp;DATE($C$3,8,1),Transaktioner!$B$6:$B$505,"&lt;"&amp;DATE($C$3,9,1)))</f>
        <v/>
      </c>
      <c r="L43" s="21" t="str">
        <f aca="false">IF($C43="","",SUMIFS(Transaktioner!$E$6:$E$505,Transaktioner!$C$6:$C$505,$C43,Transaktioner!$B$6:$B$505,"&gt;="&amp;DATE($C$3,9,1),Transaktioner!$B$6:$B$505,"&lt;"&amp;DATE($C$3,10,1)))</f>
        <v/>
      </c>
      <c r="M43" s="21" t="str">
        <f aca="false">IF($C43="","",SUMIFS(Transaktioner!$E$6:$E$505,Transaktioner!$C$6:$C$505,$C43,Transaktioner!$B$6:$B$505,"&gt;="&amp;DATE($C$3,10,1),Transaktioner!$B$6:$B$505,"&lt;"&amp;DATE($C$3,11,1)))</f>
        <v/>
      </c>
      <c r="N43" s="21" t="str">
        <f aca="false">IF($C43="","",SUMIFS(Transaktioner!$E$6:$E$505,Transaktioner!$C$6:$C$505,$C43,Transaktioner!$B$6:$B$505,"&gt;="&amp;DATE($C$3,11,1),Transaktioner!$B$6:$B$505,"&lt;"&amp;DATE($C$3,12,1)))</f>
        <v/>
      </c>
      <c r="O43" s="21" t="str">
        <f aca="false">IF($C43="","",SUMIFS(Transaktioner!$E$6:$E$505,Transaktioner!$C$6:$C$505,$C43,Transaktioner!$B$6:$B$505,"&gt;="&amp;DATE($C$3,12,1),Transaktioner!$B$6:$B$505,"&lt;"&amp;DATE($C$3,13,1)))</f>
        <v/>
      </c>
      <c r="P43" s="22" t="str">
        <f aca="false">IF($C43="","",SUM(D43:O43))</f>
        <v/>
      </c>
      <c r="Q43" s="21" t="str">
        <f aca="false">IF($C43="","",Kategorier!$D$39*12)</f>
        <v/>
      </c>
      <c r="R43" s="21" t="str">
        <f aca="false">IF($C43="","",IF($B43="Inkomst",P43-Q43,Q43-P43))</f>
        <v/>
      </c>
      <c r="S43" s="23" t="str">
        <f aca="false">IF(OR($C43="",N(Q43)=0),"",P43/Q43)</f>
        <v/>
      </c>
    </row>
    <row r="44" customFormat="false" ht="15" hidden="false" customHeight="false" outlineLevel="0" collapsed="false">
      <c r="B44" s="14" t="str">
        <f aca="false">IF(Kategorier!$C$40="","",Kategorier!$B$40)</f>
        <v/>
      </c>
      <c r="C44" s="15" t="str">
        <f aca="false">IF(Kategorier!$C$40="","",Kategorier!$C$40)</f>
        <v/>
      </c>
      <c r="D44" s="16" t="str">
        <f aca="false">IF($C44="","",SUMIFS(Transaktioner!$E$6:$E$505,Transaktioner!$C$6:$C$505,$C44,Transaktioner!$B$6:$B$505,"&gt;="&amp;DATE($C$3,1,1),Transaktioner!$B$6:$B$505,"&lt;"&amp;DATE($C$3,2,1)))</f>
        <v/>
      </c>
      <c r="E44" s="16" t="str">
        <f aca="false">IF($C44="","",SUMIFS(Transaktioner!$E$6:$E$505,Transaktioner!$C$6:$C$505,$C44,Transaktioner!$B$6:$B$505,"&gt;="&amp;DATE($C$3,2,1),Transaktioner!$B$6:$B$505,"&lt;"&amp;DATE($C$3,3,1)))</f>
        <v/>
      </c>
      <c r="F44" s="16" t="str">
        <f aca="false">IF($C44="","",SUMIFS(Transaktioner!$E$6:$E$505,Transaktioner!$C$6:$C$505,$C44,Transaktioner!$B$6:$B$505,"&gt;="&amp;DATE($C$3,3,1),Transaktioner!$B$6:$B$505,"&lt;"&amp;DATE($C$3,4,1)))</f>
        <v/>
      </c>
      <c r="G44" s="16" t="str">
        <f aca="false">IF($C44="","",SUMIFS(Transaktioner!$E$6:$E$505,Transaktioner!$C$6:$C$505,$C44,Transaktioner!$B$6:$B$505,"&gt;="&amp;DATE($C$3,4,1),Transaktioner!$B$6:$B$505,"&lt;"&amp;DATE($C$3,5,1)))</f>
        <v/>
      </c>
      <c r="H44" s="16" t="str">
        <f aca="false">IF($C44="","",SUMIFS(Transaktioner!$E$6:$E$505,Transaktioner!$C$6:$C$505,$C44,Transaktioner!$B$6:$B$505,"&gt;="&amp;DATE($C$3,5,1),Transaktioner!$B$6:$B$505,"&lt;"&amp;DATE($C$3,6,1)))</f>
        <v/>
      </c>
      <c r="I44" s="16" t="str">
        <f aca="false">IF($C44="","",SUMIFS(Transaktioner!$E$6:$E$505,Transaktioner!$C$6:$C$505,$C44,Transaktioner!$B$6:$B$505,"&gt;="&amp;DATE($C$3,6,1),Transaktioner!$B$6:$B$505,"&lt;"&amp;DATE($C$3,7,1)))</f>
        <v/>
      </c>
      <c r="J44" s="16" t="str">
        <f aca="false">IF($C44="","",SUMIFS(Transaktioner!$E$6:$E$505,Transaktioner!$C$6:$C$505,$C44,Transaktioner!$B$6:$B$505,"&gt;="&amp;DATE($C$3,7,1),Transaktioner!$B$6:$B$505,"&lt;"&amp;DATE($C$3,8,1)))</f>
        <v/>
      </c>
      <c r="K44" s="16" t="str">
        <f aca="false">IF($C44="","",SUMIFS(Transaktioner!$E$6:$E$505,Transaktioner!$C$6:$C$505,$C44,Transaktioner!$B$6:$B$505,"&gt;="&amp;DATE($C$3,8,1),Transaktioner!$B$6:$B$505,"&lt;"&amp;DATE($C$3,9,1)))</f>
        <v/>
      </c>
      <c r="L44" s="16" t="str">
        <f aca="false">IF($C44="","",SUMIFS(Transaktioner!$E$6:$E$505,Transaktioner!$C$6:$C$505,$C44,Transaktioner!$B$6:$B$505,"&gt;="&amp;DATE($C$3,9,1),Transaktioner!$B$6:$B$505,"&lt;"&amp;DATE($C$3,10,1)))</f>
        <v/>
      </c>
      <c r="M44" s="16" t="str">
        <f aca="false">IF($C44="","",SUMIFS(Transaktioner!$E$6:$E$505,Transaktioner!$C$6:$C$505,$C44,Transaktioner!$B$6:$B$505,"&gt;="&amp;DATE($C$3,10,1),Transaktioner!$B$6:$B$505,"&lt;"&amp;DATE($C$3,11,1)))</f>
        <v/>
      </c>
      <c r="N44" s="16" t="str">
        <f aca="false">IF($C44="","",SUMIFS(Transaktioner!$E$6:$E$505,Transaktioner!$C$6:$C$505,$C44,Transaktioner!$B$6:$B$505,"&gt;="&amp;DATE($C$3,11,1),Transaktioner!$B$6:$B$505,"&lt;"&amp;DATE($C$3,12,1)))</f>
        <v/>
      </c>
      <c r="O44" s="16" t="str">
        <f aca="false">IF($C44="","",SUMIFS(Transaktioner!$E$6:$E$505,Transaktioner!$C$6:$C$505,$C44,Transaktioner!$B$6:$B$505,"&gt;="&amp;DATE($C$3,12,1),Transaktioner!$B$6:$B$505,"&lt;"&amp;DATE($C$3,13,1)))</f>
        <v/>
      </c>
      <c r="P44" s="17" t="str">
        <f aca="false">IF($C44="","",SUM(D44:O44))</f>
        <v/>
      </c>
      <c r="Q44" s="16" t="str">
        <f aca="false">IF($C44="","",Kategorier!$D$40*12)</f>
        <v/>
      </c>
      <c r="R44" s="16" t="str">
        <f aca="false">IF($C44="","",IF($B44="Inkomst",P44-Q44,Q44-P44))</f>
        <v/>
      </c>
      <c r="S44" s="18" t="str">
        <f aca="false">IF(OR($C44="",N(Q44)=0),"",P44/Q44)</f>
        <v/>
      </c>
    </row>
    <row r="46" customFormat="false" ht="15" hidden="false" customHeight="false" outlineLevel="0" collapsed="false">
      <c r="C46" s="24" t="s">
        <v>25</v>
      </c>
      <c r="D46" s="17" t="n">
        <f aca="false">SUMIFS(D$10:D$44,$B$10:$B$44,"Inkomst")</f>
        <v>42000</v>
      </c>
      <c r="E46" s="17" t="n">
        <f aca="false">SUMIFS(E$10:E$44,$B$10:$B$44,"Inkomst")</f>
        <v>0</v>
      </c>
      <c r="F46" s="17" t="n">
        <f aca="false">SUMIFS(F$10:F$44,$B$10:$B$44,"Inkomst")</f>
        <v>0</v>
      </c>
      <c r="G46" s="17" t="n">
        <f aca="false">SUMIFS(G$10:G$44,$B$10:$B$44,"Inkomst")</f>
        <v>0</v>
      </c>
      <c r="H46" s="17" t="n">
        <f aca="false">SUMIFS(H$10:H$44,$B$10:$B$44,"Inkomst")</f>
        <v>0</v>
      </c>
      <c r="I46" s="17" t="n">
        <f aca="false">SUMIFS(I$10:I$44,$B$10:$B$44,"Inkomst")</f>
        <v>0</v>
      </c>
      <c r="J46" s="17" t="n">
        <f aca="false">SUMIFS(J$10:J$44,$B$10:$B$44,"Inkomst")</f>
        <v>0</v>
      </c>
      <c r="K46" s="17" t="n">
        <f aca="false">SUMIFS(K$10:K$44,$B$10:$B$44,"Inkomst")</f>
        <v>0</v>
      </c>
      <c r="L46" s="17" t="n">
        <f aca="false">SUMIFS(L$10:L$44,$B$10:$B$44,"Inkomst")</f>
        <v>0</v>
      </c>
      <c r="M46" s="17" t="n">
        <f aca="false">SUMIFS(M$10:M$44,$B$10:$B$44,"Inkomst")</f>
        <v>0</v>
      </c>
      <c r="N46" s="17" t="n">
        <f aca="false">SUMIFS(N$10:N$44,$B$10:$B$44,"Inkomst")</f>
        <v>0</v>
      </c>
      <c r="O46" s="17" t="n">
        <f aca="false">SUMIFS(O$10:O$44,$B$10:$B$44,"Inkomst")</f>
        <v>0</v>
      </c>
      <c r="P46" s="17" t="n">
        <f aca="false">SUMIFS(P$10:P$44,$B$10:$B$44,"Inkomst")</f>
        <v>42000</v>
      </c>
      <c r="Q46" s="17" t="n">
        <f aca="false">SUMIFS(Q$10:Q$44,$B$10:$B$44,"Inkomst")</f>
        <v>519000</v>
      </c>
      <c r="R46" s="25"/>
      <c r="S46" s="25"/>
    </row>
    <row r="47" customFormat="false" ht="15" hidden="false" customHeight="false" outlineLevel="0" collapsed="false">
      <c r="C47" s="26" t="s">
        <v>26</v>
      </c>
      <c r="D47" s="17" t="n">
        <f aca="false">SUMIFS(D$10:D$44,$B$10:$B$44,"Utgift")</f>
        <v>13740</v>
      </c>
      <c r="E47" s="17" t="n">
        <f aca="false">SUMIFS(E$10:E$44,$B$10:$B$44,"Utgift")</f>
        <v>0</v>
      </c>
      <c r="F47" s="17" t="n">
        <f aca="false">SUMIFS(F$10:F$44,$B$10:$B$44,"Utgift")</f>
        <v>0</v>
      </c>
      <c r="G47" s="17" t="n">
        <f aca="false">SUMIFS(G$10:G$44,$B$10:$B$44,"Utgift")</f>
        <v>0</v>
      </c>
      <c r="H47" s="17" t="n">
        <f aca="false">SUMIFS(H$10:H$44,$B$10:$B$44,"Utgift")</f>
        <v>0</v>
      </c>
      <c r="I47" s="17" t="n">
        <f aca="false">SUMIFS(I$10:I$44,$B$10:$B$44,"Utgift")</f>
        <v>0</v>
      </c>
      <c r="J47" s="17" t="n">
        <f aca="false">SUMIFS(J$10:J$44,$B$10:$B$44,"Utgift")</f>
        <v>0</v>
      </c>
      <c r="K47" s="17" t="n">
        <f aca="false">SUMIFS(K$10:K$44,$B$10:$B$44,"Utgift")</f>
        <v>0</v>
      </c>
      <c r="L47" s="17" t="n">
        <f aca="false">SUMIFS(L$10:L$44,$B$10:$B$44,"Utgift")</f>
        <v>0</v>
      </c>
      <c r="M47" s="17" t="n">
        <f aca="false">SUMIFS(M$10:M$44,$B$10:$B$44,"Utgift")</f>
        <v>0</v>
      </c>
      <c r="N47" s="17" t="n">
        <f aca="false">SUMIFS(N$10:N$44,$B$10:$B$44,"Utgift")</f>
        <v>0</v>
      </c>
      <c r="O47" s="17" t="n">
        <f aca="false">SUMIFS(O$10:O$44,$B$10:$B$44,"Utgift")</f>
        <v>0</v>
      </c>
      <c r="P47" s="17" t="n">
        <f aca="false">SUMIFS(P$10:P$44,$B$10:$B$44,"Utgift")</f>
        <v>13740</v>
      </c>
      <c r="Q47" s="17" t="n">
        <f aca="false">SUMIFS(Q$10:Q$44,$B$10:$B$44,"Utgift")</f>
        <v>383400</v>
      </c>
      <c r="R47" s="25"/>
      <c r="S47" s="25"/>
    </row>
    <row r="48" customFormat="false" ht="15" hidden="false" customHeight="false" outlineLevel="0" collapsed="false">
      <c r="C48" s="27" t="s">
        <v>27</v>
      </c>
      <c r="D48" s="17" t="n">
        <f aca="false">SUMIFS(D$10:D$44,$B$10:$B$44,"Sparande")</f>
        <v>3000</v>
      </c>
      <c r="E48" s="17" t="n">
        <f aca="false">SUMIFS(E$10:E$44,$B$10:$B$44,"Sparande")</f>
        <v>0</v>
      </c>
      <c r="F48" s="17" t="n">
        <f aca="false">SUMIFS(F$10:F$44,$B$10:$B$44,"Sparande")</f>
        <v>0</v>
      </c>
      <c r="G48" s="17" t="n">
        <f aca="false">SUMIFS(G$10:G$44,$B$10:$B$44,"Sparande")</f>
        <v>0</v>
      </c>
      <c r="H48" s="17" t="n">
        <f aca="false">SUMIFS(H$10:H$44,$B$10:$B$44,"Sparande")</f>
        <v>0</v>
      </c>
      <c r="I48" s="17" t="n">
        <f aca="false">SUMIFS(I$10:I$44,$B$10:$B$44,"Sparande")</f>
        <v>0</v>
      </c>
      <c r="J48" s="17" t="n">
        <f aca="false">SUMIFS(J$10:J$44,$B$10:$B$44,"Sparande")</f>
        <v>0</v>
      </c>
      <c r="K48" s="17" t="n">
        <f aca="false">SUMIFS(K$10:K$44,$B$10:$B$44,"Sparande")</f>
        <v>0</v>
      </c>
      <c r="L48" s="17" t="n">
        <f aca="false">SUMIFS(L$10:L$44,$B$10:$B$44,"Sparande")</f>
        <v>0</v>
      </c>
      <c r="M48" s="17" t="n">
        <f aca="false">SUMIFS(M$10:M$44,$B$10:$B$44,"Sparande")</f>
        <v>0</v>
      </c>
      <c r="N48" s="17" t="n">
        <f aca="false">SUMIFS(N$10:N$44,$B$10:$B$44,"Sparande")</f>
        <v>0</v>
      </c>
      <c r="O48" s="17" t="n">
        <f aca="false">SUMIFS(O$10:O$44,$B$10:$B$44,"Sparande")</f>
        <v>0</v>
      </c>
      <c r="P48" s="17" t="n">
        <f aca="false">SUMIFS(P$10:P$44,$B$10:$B$44,"Sparande")</f>
        <v>3000</v>
      </c>
      <c r="Q48" s="17" t="n">
        <f aca="false">SUMIFS(Q$10:Q$44,$B$10:$B$44,"Sparande")</f>
        <v>66000</v>
      </c>
      <c r="R48" s="25"/>
      <c r="S48" s="25"/>
    </row>
    <row r="49" customFormat="false" ht="15" hidden="false" customHeight="false" outlineLevel="0" collapsed="false">
      <c r="C49" s="28" t="s">
        <v>28</v>
      </c>
      <c r="D49" s="29" t="n">
        <f aca="false">D46-D47-D48</f>
        <v>25260</v>
      </c>
      <c r="E49" s="29" t="n">
        <f aca="false">E46-E47-E48</f>
        <v>0</v>
      </c>
      <c r="F49" s="29" t="n">
        <f aca="false">F46-F47-F48</f>
        <v>0</v>
      </c>
      <c r="G49" s="29" t="n">
        <f aca="false">G46-G47-G48</f>
        <v>0</v>
      </c>
      <c r="H49" s="29" t="n">
        <f aca="false">H46-H47-H48</f>
        <v>0</v>
      </c>
      <c r="I49" s="29" t="n">
        <f aca="false">I46-I47-I48</f>
        <v>0</v>
      </c>
      <c r="J49" s="29" t="n">
        <f aca="false">J46-J47-J48</f>
        <v>0</v>
      </c>
      <c r="K49" s="29" t="n">
        <f aca="false">K46-K47-K48</f>
        <v>0</v>
      </c>
      <c r="L49" s="29" t="n">
        <f aca="false">L46-L47-L48</f>
        <v>0</v>
      </c>
      <c r="M49" s="29" t="n">
        <f aca="false">M46-M47-M48</f>
        <v>0</v>
      </c>
      <c r="N49" s="29" t="n">
        <f aca="false">N46-N47-N48</f>
        <v>0</v>
      </c>
      <c r="O49" s="29" t="n">
        <f aca="false">O46-O47-O48</f>
        <v>0</v>
      </c>
      <c r="P49" s="29" t="n">
        <f aca="false">P46-P47-P48</f>
        <v>25260</v>
      </c>
      <c r="Q49" s="29" t="n">
        <f aca="false">Q46-Q47-Q48</f>
        <v>69600</v>
      </c>
    </row>
  </sheetData>
  <mergeCells count="8">
    <mergeCell ref="C5:D5"/>
    <mergeCell ref="F5:G5"/>
    <mergeCell ref="I5:J5"/>
    <mergeCell ref="L5:M5"/>
    <mergeCell ref="C6:D6"/>
    <mergeCell ref="F6:G6"/>
    <mergeCell ref="I6:J6"/>
    <mergeCell ref="L6:M6"/>
  </mergeCells>
  <conditionalFormatting sqref="R10:R44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conditionalFormatting sqref="S10:S44">
    <cfRule type="dataBar" priority="4">
      <dataBar showValue="1" minLength="10" maxLength="90">
        <cfvo type="num" val="0"/>
        <cfvo type="num" val="1"/>
        <color rgb="FF2A9D8F"/>
      </dataBar>
      <extLst>
        <ext xmlns:x14="http://schemas.microsoft.com/office/spreadsheetml/2009/9/main" uri="{B025F937-C7B1-47D3-B67F-A62EFF666E3E}">
          <x14:id>{7195B741-1612-4FE5-A836-5C46842C8F3C}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95B741-1612-4FE5-A836-5C46842C8F3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A9D8F"/>
              <x14:axisColor rgb="FF000000"/>
            </x14:dataBar>
          </x14:cfRule>
          <xm:sqref>S10:S44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16"/>
  </cols>
  <sheetData>
    <row r="2" customFormat="false" ht="22.05" hidden="false" customHeight="false" outlineLevel="0" collapsed="false">
      <c r="B2" s="30" t="s">
        <v>29</v>
      </c>
    </row>
    <row r="3" customFormat="false" ht="15" hidden="false" customHeight="false" outlineLevel="0" collapsed="false">
      <c r="B3" s="4" t="s">
        <v>30</v>
      </c>
    </row>
    <row r="5" customFormat="false" ht="15" hidden="false" customHeight="false" outlineLevel="0" collapsed="false">
      <c r="B5" s="31" t="s">
        <v>7</v>
      </c>
      <c r="C5" s="31" t="s">
        <v>8</v>
      </c>
      <c r="D5" s="31" t="s">
        <v>31</v>
      </c>
    </row>
    <row r="6" customFormat="false" ht="15" hidden="false" customHeight="false" outlineLevel="0" collapsed="false">
      <c r="B6" s="32" t="s">
        <v>32</v>
      </c>
      <c r="C6" s="32" t="s">
        <v>33</v>
      </c>
      <c r="D6" s="33" t="n">
        <v>42000</v>
      </c>
    </row>
    <row r="7" customFormat="false" ht="15" hidden="false" customHeight="false" outlineLevel="0" collapsed="false">
      <c r="B7" s="32" t="s">
        <v>32</v>
      </c>
      <c r="C7" s="32" t="s">
        <v>34</v>
      </c>
      <c r="D7" s="33" t="n">
        <v>1250</v>
      </c>
    </row>
    <row r="8" customFormat="false" ht="15" hidden="false" customHeight="false" outlineLevel="0" collapsed="false">
      <c r="B8" s="32" t="s">
        <v>32</v>
      </c>
      <c r="C8" s="32" t="s">
        <v>35</v>
      </c>
      <c r="D8" s="33" t="n">
        <v>0</v>
      </c>
    </row>
    <row r="9" customFormat="false" ht="15" hidden="false" customHeight="false" outlineLevel="0" collapsed="false">
      <c r="B9" s="32" t="s">
        <v>36</v>
      </c>
      <c r="C9" s="32" t="s">
        <v>37</v>
      </c>
      <c r="D9" s="33" t="n">
        <v>12500</v>
      </c>
    </row>
    <row r="10" customFormat="false" ht="15" hidden="false" customHeight="false" outlineLevel="0" collapsed="false">
      <c r="B10" s="32" t="s">
        <v>36</v>
      </c>
      <c r="C10" s="32" t="s">
        <v>38</v>
      </c>
      <c r="D10" s="33" t="n">
        <v>1400</v>
      </c>
    </row>
    <row r="11" customFormat="false" ht="15" hidden="false" customHeight="false" outlineLevel="0" collapsed="false">
      <c r="B11" s="32" t="s">
        <v>36</v>
      </c>
      <c r="C11" s="32" t="s">
        <v>39</v>
      </c>
      <c r="D11" s="33" t="n">
        <v>650</v>
      </c>
    </row>
    <row r="12" customFormat="false" ht="15" hidden="false" customHeight="false" outlineLevel="0" collapsed="false">
      <c r="B12" s="32" t="s">
        <v>36</v>
      </c>
      <c r="C12" s="32" t="s">
        <v>40</v>
      </c>
      <c r="D12" s="33" t="n">
        <v>900</v>
      </c>
    </row>
    <row r="13" customFormat="false" ht="15" hidden="false" customHeight="false" outlineLevel="0" collapsed="false">
      <c r="B13" s="32" t="s">
        <v>36</v>
      </c>
      <c r="C13" s="32" t="s">
        <v>41</v>
      </c>
      <c r="D13" s="33" t="n">
        <v>7500</v>
      </c>
    </row>
    <row r="14" customFormat="false" ht="15" hidden="false" customHeight="false" outlineLevel="0" collapsed="false">
      <c r="B14" s="32" t="s">
        <v>36</v>
      </c>
      <c r="C14" s="32" t="s">
        <v>42</v>
      </c>
      <c r="D14" s="33" t="n">
        <v>2500</v>
      </c>
    </row>
    <row r="15" customFormat="false" ht="15" hidden="false" customHeight="false" outlineLevel="0" collapsed="false">
      <c r="B15" s="32" t="s">
        <v>36</v>
      </c>
      <c r="C15" s="32" t="s">
        <v>43</v>
      </c>
      <c r="D15" s="33" t="n">
        <v>1500</v>
      </c>
    </row>
    <row r="16" customFormat="false" ht="15" hidden="false" customHeight="false" outlineLevel="0" collapsed="false">
      <c r="B16" s="32" t="s">
        <v>36</v>
      </c>
      <c r="C16" s="32" t="s">
        <v>44</v>
      </c>
      <c r="D16" s="33" t="n">
        <v>600</v>
      </c>
    </row>
    <row r="17" customFormat="false" ht="15" hidden="false" customHeight="false" outlineLevel="0" collapsed="false">
      <c r="B17" s="32" t="s">
        <v>36</v>
      </c>
      <c r="C17" s="32" t="s">
        <v>45</v>
      </c>
      <c r="D17" s="33" t="n">
        <v>2000</v>
      </c>
    </row>
    <row r="18" customFormat="false" ht="15" hidden="false" customHeight="false" outlineLevel="0" collapsed="false">
      <c r="B18" s="32" t="s">
        <v>36</v>
      </c>
      <c r="C18" s="32" t="s">
        <v>46</v>
      </c>
      <c r="D18" s="33" t="n">
        <v>1000</v>
      </c>
    </row>
    <row r="19" customFormat="false" ht="15" hidden="false" customHeight="false" outlineLevel="0" collapsed="false">
      <c r="B19" s="32" t="s">
        <v>36</v>
      </c>
      <c r="C19" s="32" t="s">
        <v>47</v>
      </c>
      <c r="D19" s="33" t="n">
        <v>400</v>
      </c>
    </row>
    <row r="20" customFormat="false" ht="15" hidden="false" customHeight="false" outlineLevel="0" collapsed="false">
      <c r="B20" s="32" t="s">
        <v>36</v>
      </c>
      <c r="C20" s="32" t="s">
        <v>35</v>
      </c>
      <c r="D20" s="33" t="n">
        <v>1000</v>
      </c>
    </row>
    <row r="21" customFormat="false" ht="15" hidden="false" customHeight="false" outlineLevel="0" collapsed="false">
      <c r="B21" s="32" t="s">
        <v>27</v>
      </c>
      <c r="C21" s="32" t="s">
        <v>48</v>
      </c>
      <c r="D21" s="33" t="n">
        <v>3000</v>
      </c>
    </row>
    <row r="22" customFormat="false" ht="15" hidden="false" customHeight="false" outlineLevel="0" collapsed="false">
      <c r="B22" s="32" t="s">
        <v>27</v>
      </c>
      <c r="C22" s="32" t="s">
        <v>49</v>
      </c>
      <c r="D22" s="33" t="n">
        <v>2500</v>
      </c>
    </row>
    <row r="23" customFormat="false" ht="15" hidden="false" customHeight="false" outlineLevel="0" collapsed="false">
      <c r="B23" s="32"/>
      <c r="C23" s="32"/>
      <c r="D23" s="33"/>
    </row>
    <row r="24" customFormat="false" ht="15" hidden="false" customHeight="false" outlineLevel="0" collapsed="false">
      <c r="B24" s="32"/>
      <c r="C24" s="32"/>
      <c r="D24" s="33"/>
    </row>
    <row r="25" customFormat="false" ht="15" hidden="false" customHeight="false" outlineLevel="0" collapsed="false">
      <c r="B25" s="32"/>
      <c r="C25" s="32"/>
      <c r="D25" s="33"/>
    </row>
    <row r="26" customFormat="false" ht="15" hidden="false" customHeight="false" outlineLevel="0" collapsed="false">
      <c r="B26" s="32"/>
      <c r="C26" s="32"/>
      <c r="D26" s="33"/>
    </row>
    <row r="27" customFormat="false" ht="15" hidden="false" customHeight="false" outlineLevel="0" collapsed="false">
      <c r="B27" s="32"/>
      <c r="C27" s="32"/>
      <c r="D27" s="33"/>
    </row>
    <row r="28" customFormat="false" ht="15" hidden="false" customHeight="false" outlineLevel="0" collapsed="false">
      <c r="B28" s="32"/>
      <c r="C28" s="32"/>
      <c r="D28" s="33"/>
    </row>
    <row r="29" customFormat="false" ht="15" hidden="false" customHeight="false" outlineLevel="0" collapsed="false">
      <c r="B29" s="32"/>
      <c r="C29" s="32"/>
      <c r="D29" s="33"/>
    </row>
    <row r="30" customFormat="false" ht="15" hidden="false" customHeight="false" outlineLevel="0" collapsed="false">
      <c r="B30" s="32"/>
      <c r="C30" s="32"/>
      <c r="D30" s="33"/>
    </row>
    <row r="31" customFormat="false" ht="15" hidden="false" customHeight="false" outlineLevel="0" collapsed="false">
      <c r="B31" s="32"/>
      <c r="C31" s="32"/>
      <c r="D31" s="33"/>
    </row>
    <row r="32" customFormat="false" ht="15" hidden="false" customHeight="false" outlineLevel="0" collapsed="false">
      <c r="B32" s="32"/>
      <c r="C32" s="32"/>
      <c r="D32" s="33"/>
    </row>
    <row r="33" customFormat="false" ht="15" hidden="false" customHeight="false" outlineLevel="0" collapsed="false">
      <c r="B33" s="32"/>
      <c r="C33" s="32"/>
      <c r="D33" s="33"/>
    </row>
    <row r="34" customFormat="false" ht="15" hidden="false" customHeight="false" outlineLevel="0" collapsed="false">
      <c r="B34" s="32"/>
      <c r="C34" s="32"/>
      <c r="D34" s="33"/>
    </row>
    <row r="35" customFormat="false" ht="15" hidden="false" customHeight="false" outlineLevel="0" collapsed="false">
      <c r="B35" s="32"/>
      <c r="C35" s="32"/>
      <c r="D35" s="33"/>
    </row>
    <row r="36" customFormat="false" ht="15" hidden="false" customHeight="false" outlineLevel="0" collapsed="false">
      <c r="B36" s="32"/>
      <c r="C36" s="32"/>
      <c r="D36" s="33"/>
    </row>
    <row r="37" customFormat="false" ht="15" hidden="false" customHeight="false" outlineLevel="0" collapsed="false">
      <c r="B37" s="32"/>
      <c r="C37" s="32"/>
      <c r="D37" s="33"/>
    </row>
    <row r="38" customFormat="false" ht="15" hidden="false" customHeight="false" outlineLevel="0" collapsed="false">
      <c r="B38" s="32"/>
      <c r="C38" s="32"/>
      <c r="D38" s="33"/>
    </row>
    <row r="39" customFormat="false" ht="15" hidden="false" customHeight="false" outlineLevel="0" collapsed="false">
      <c r="B39" s="32"/>
      <c r="C39" s="32"/>
      <c r="D39" s="33"/>
    </row>
    <row r="40" customFormat="false" ht="15" hidden="false" customHeight="false" outlineLevel="0" collapsed="false">
      <c r="B40" s="32"/>
      <c r="C40" s="32"/>
      <c r="D40" s="33"/>
    </row>
  </sheetData>
  <dataValidations count="1">
    <dataValidation allowBlank="true" errorStyle="stop" operator="between" showDropDown="false" showErrorMessage="false" showInputMessage="false" sqref="B6:B40" type="list">
      <formula1>"Inkomst,Utgift,Sparande"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11"/>
  </cols>
  <sheetData>
    <row r="2" customFormat="false" ht="22.05" hidden="false" customHeight="false" outlineLevel="0" collapsed="false">
      <c r="B2" s="30" t="s">
        <v>50</v>
      </c>
    </row>
    <row r="3" customFormat="false" ht="15" hidden="false" customHeight="false" outlineLevel="0" collapsed="false">
      <c r="B3" s="4" t="s">
        <v>51</v>
      </c>
    </row>
    <row r="5" customFormat="false" ht="15" hidden="false" customHeight="false" outlineLevel="0" collapsed="false">
      <c r="B5" s="31" t="s">
        <v>52</v>
      </c>
      <c r="C5" s="31" t="s">
        <v>8</v>
      </c>
      <c r="D5" s="31" t="s">
        <v>53</v>
      </c>
      <c r="E5" s="31" t="s">
        <v>54</v>
      </c>
      <c r="F5" s="31" t="s">
        <v>7</v>
      </c>
    </row>
    <row r="6" customFormat="false" ht="15" hidden="false" customHeight="false" outlineLevel="0" collapsed="false">
      <c r="B6" s="34" t="n">
        <v>46047</v>
      </c>
      <c r="C6" s="32" t="s">
        <v>33</v>
      </c>
      <c r="D6" s="32" t="s">
        <v>55</v>
      </c>
      <c r="E6" s="33" t="n">
        <v>42000</v>
      </c>
      <c r="F6" s="35" t="str">
        <f aca="false">IF(C6="","",IFERROR(INDEX(Kategorier!$B$6:$B$40,MATCH(C6,Kategorier!$C$6:$C$40,0)),"?"))</f>
        <v>Inkomst</v>
      </c>
    </row>
    <row r="7" customFormat="false" ht="15" hidden="false" customHeight="false" outlineLevel="0" collapsed="false">
      <c r="B7" s="34" t="n">
        <v>46050</v>
      </c>
      <c r="C7" s="32" t="s">
        <v>37</v>
      </c>
      <c r="D7" s="32" t="s">
        <v>56</v>
      </c>
      <c r="E7" s="33" t="n">
        <v>12500</v>
      </c>
      <c r="F7" s="35" t="str">
        <f aca="false">IF(C7="","",IFERROR(INDEX(Kategorier!$B$6:$B$40,MATCH(C7,Kategorier!$C$6:$C$40,0)),"?"))</f>
        <v>Utgift</v>
      </c>
    </row>
    <row r="8" customFormat="false" ht="15" hidden="false" customHeight="false" outlineLevel="0" collapsed="false">
      <c r="B8" s="34" t="n">
        <v>46037</v>
      </c>
      <c r="C8" s="32" t="s">
        <v>41</v>
      </c>
      <c r="D8" s="32" t="s">
        <v>57</v>
      </c>
      <c r="E8" s="33" t="n">
        <v>1240</v>
      </c>
      <c r="F8" s="35" t="str">
        <f aca="false">IF(C8="","",IFERROR(INDEX(Kategorier!$B$6:$B$40,MATCH(C8,Kategorier!$C$6:$C$40,0)),"?"))</f>
        <v>Utgift</v>
      </c>
    </row>
    <row r="9" customFormat="false" ht="15" hidden="false" customHeight="false" outlineLevel="0" collapsed="false">
      <c r="B9" s="34" t="n">
        <v>46047</v>
      </c>
      <c r="C9" s="32" t="s">
        <v>48</v>
      </c>
      <c r="D9" s="32" t="s">
        <v>58</v>
      </c>
      <c r="E9" s="33" t="n">
        <v>3000</v>
      </c>
      <c r="F9" s="35" t="str">
        <f aca="false">IF(C9="","",IFERROR(INDEX(Kategorier!$B$6:$B$40,MATCH(C9,Kategorier!$C$6:$C$40,0)),"?"))</f>
        <v>Sparande</v>
      </c>
    </row>
    <row r="10" customFormat="false" ht="15" hidden="false" customHeight="false" outlineLevel="0" collapsed="false">
      <c r="B10" s="34"/>
      <c r="C10" s="32"/>
      <c r="D10" s="32"/>
      <c r="E10" s="33"/>
      <c r="F10" s="35" t="str">
        <f aca="false">IF(C10="","",IFERROR(INDEX(Kategorier!$B$6:$B$40,MATCH(C10,Kategorier!$C$6:$C$40,0)),"?"))</f>
        <v/>
      </c>
    </row>
    <row r="11" customFormat="false" ht="15" hidden="false" customHeight="false" outlineLevel="0" collapsed="false">
      <c r="B11" s="34"/>
      <c r="C11" s="32"/>
      <c r="D11" s="32"/>
      <c r="E11" s="33"/>
      <c r="F11" s="35" t="str">
        <f aca="false">IF(C11="","",IFERROR(INDEX(Kategorier!$B$6:$B$40,MATCH(C11,Kategorier!$C$6:$C$40,0)),"?"))</f>
        <v/>
      </c>
    </row>
    <row r="12" customFormat="false" ht="15" hidden="false" customHeight="false" outlineLevel="0" collapsed="false">
      <c r="B12" s="34"/>
      <c r="C12" s="32"/>
      <c r="D12" s="32"/>
      <c r="E12" s="33"/>
      <c r="F12" s="35" t="str">
        <f aca="false">IF(C12="","",IFERROR(INDEX(Kategorier!$B$6:$B$40,MATCH(C12,Kategorier!$C$6:$C$40,0)),"?"))</f>
        <v/>
      </c>
    </row>
    <row r="13" customFormat="false" ht="15" hidden="false" customHeight="false" outlineLevel="0" collapsed="false">
      <c r="B13" s="34"/>
      <c r="C13" s="32"/>
      <c r="D13" s="32"/>
      <c r="E13" s="33"/>
      <c r="F13" s="35" t="str">
        <f aca="false">IF(C13="","",IFERROR(INDEX(Kategorier!$B$6:$B$40,MATCH(C13,Kategorier!$C$6:$C$40,0)),"?"))</f>
        <v/>
      </c>
    </row>
    <row r="14" customFormat="false" ht="15" hidden="false" customHeight="false" outlineLevel="0" collapsed="false">
      <c r="B14" s="34"/>
      <c r="C14" s="32"/>
      <c r="D14" s="32"/>
      <c r="E14" s="33"/>
      <c r="F14" s="35" t="str">
        <f aca="false">IF(C14="","",IFERROR(INDEX(Kategorier!$B$6:$B$40,MATCH(C14,Kategorier!$C$6:$C$40,0)),"?"))</f>
        <v/>
      </c>
    </row>
    <row r="15" customFormat="false" ht="15" hidden="false" customHeight="false" outlineLevel="0" collapsed="false">
      <c r="B15" s="34"/>
      <c r="C15" s="32"/>
      <c r="D15" s="32"/>
      <c r="E15" s="33"/>
      <c r="F15" s="35" t="str">
        <f aca="false">IF(C15="","",IFERROR(INDEX(Kategorier!$B$6:$B$40,MATCH(C15,Kategorier!$C$6:$C$40,0)),"?"))</f>
        <v/>
      </c>
    </row>
    <row r="16" customFormat="false" ht="15" hidden="false" customHeight="false" outlineLevel="0" collapsed="false">
      <c r="B16" s="34"/>
      <c r="C16" s="32"/>
      <c r="D16" s="32"/>
      <c r="E16" s="33"/>
      <c r="F16" s="35" t="str">
        <f aca="false">IF(C16="","",IFERROR(INDEX(Kategorier!$B$6:$B$40,MATCH(C16,Kategorier!$C$6:$C$40,0)),"?"))</f>
        <v/>
      </c>
    </row>
    <row r="17" customFormat="false" ht="15" hidden="false" customHeight="false" outlineLevel="0" collapsed="false">
      <c r="B17" s="34"/>
      <c r="C17" s="32"/>
      <c r="D17" s="32"/>
      <c r="E17" s="33"/>
      <c r="F17" s="35" t="str">
        <f aca="false">IF(C17="","",IFERROR(INDEX(Kategorier!$B$6:$B$40,MATCH(C17,Kategorier!$C$6:$C$40,0)),"?"))</f>
        <v/>
      </c>
    </row>
    <row r="18" customFormat="false" ht="15" hidden="false" customHeight="false" outlineLevel="0" collapsed="false">
      <c r="B18" s="34"/>
      <c r="C18" s="32"/>
      <c r="D18" s="32"/>
      <c r="E18" s="33"/>
      <c r="F18" s="35" t="str">
        <f aca="false">IF(C18="","",IFERROR(INDEX(Kategorier!$B$6:$B$40,MATCH(C18,Kategorier!$C$6:$C$40,0)),"?"))</f>
        <v/>
      </c>
    </row>
    <row r="19" customFormat="false" ht="15" hidden="false" customHeight="false" outlineLevel="0" collapsed="false">
      <c r="B19" s="34"/>
      <c r="C19" s="32"/>
      <c r="D19" s="32"/>
      <c r="E19" s="33"/>
      <c r="F19" s="35" t="str">
        <f aca="false">IF(C19="","",IFERROR(INDEX(Kategorier!$B$6:$B$40,MATCH(C19,Kategorier!$C$6:$C$40,0)),"?"))</f>
        <v/>
      </c>
    </row>
    <row r="20" customFormat="false" ht="15" hidden="false" customHeight="false" outlineLevel="0" collapsed="false">
      <c r="B20" s="34"/>
      <c r="C20" s="32"/>
      <c r="D20" s="32"/>
      <c r="E20" s="33"/>
      <c r="F20" s="35" t="str">
        <f aca="false">IF(C20="","",IFERROR(INDEX(Kategorier!$B$6:$B$40,MATCH(C20,Kategorier!$C$6:$C$40,0)),"?"))</f>
        <v/>
      </c>
    </row>
    <row r="21" customFormat="false" ht="15" hidden="false" customHeight="false" outlineLevel="0" collapsed="false">
      <c r="B21" s="34"/>
      <c r="C21" s="32"/>
      <c r="D21" s="32"/>
      <c r="E21" s="33"/>
      <c r="F21" s="35" t="str">
        <f aca="false">IF(C21="","",IFERROR(INDEX(Kategorier!$B$6:$B$40,MATCH(C21,Kategorier!$C$6:$C$40,0)),"?"))</f>
        <v/>
      </c>
    </row>
    <row r="22" customFormat="false" ht="15" hidden="false" customHeight="false" outlineLevel="0" collapsed="false">
      <c r="B22" s="34"/>
      <c r="C22" s="32"/>
      <c r="D22" s="32"/>
      <c r="E22" s="33"/>
      <c r="F22" s="35" t="str">
        <f aca="false">IF(C22="","",IFERROR(INDEX(Kategorier!$B$6:$B$40,MATCH(C22,Kategorier!$C$6:$C$40,0)),"?"))</f>
        <v/>
      </c>
    </row>
    <row r="23" customFormat="false" ht="15" hidden="false" customHeight="false" outlineLevel="0" collapsed="false">
      <c r="B23" s="34"/>
      <c r="C23" s="32"/>
      <c r="D23" s="32"/>
      <c r="E23" s="33"/>
      <c r="F23" s="35" t="str">
        <f aca="false">IF(C23="","",IFERROR(INDEX(Kategorier!$B$6:$B$40,MATCH(C23,Kategorier!$C$6:$C$40,0)),"?"))</f>
        <v/>
      </c>
    </row>
    <row r="24" customFormat="false" ht="15" hidden="false" customHeight="false" outlineLevel="0" collapsed="false">
      <c r="B24" s="34"/>
      <c r="C24" s="32"/>
      <c r="D24" s="32"/>
      <c r="E24" s="33"/>
      <c r="F24" s="35" t="str">
        <f aca="false">IF(C24="","",IFERROR(INDEX(Kategorier!$B$6:$B$40,MATCH(C24,Kategorier!$C$6:$C$40,0)),"?"))</f>
        <v/>
      </c>
    </row>
    <row r="25" customFormat="false" ht="15" hidden="false" customHeight="false" outlineLevel="0" collapsed="false">
      <c r="B25" s="34"/>
      <c r="C25" s="32"/>
      <c r="D25" s="32"/>
      <c r="E25" s="33"/>
      <c r="F25" s="35" t="str">
        <f aca="false">IF(C25="","",IFERROR(INDEX(Kategorier!$B$6:$B$40,MATCH(C25,Kategorier!$C$6:$C$40,0)),"?"))</f>
        <v/>
      </c>
    </row>
    <row r="26" customFormat="false" ht="15" hidden="false" customHeight="false" outlineLevel="0" collapsed="false">
      <c r="B26" s="34"/>
      <c r="C26" s="32"/>
      <c r="D26" s="32"/>
      <c r="E26" s="33"/>
      <c r="F26" s="35" t="str">
        <f aca="false">IF(C26="","",IFERROR(INDEX(Kategorier!$B$6:$B$40,MATCH(C26,Kategorier!$C$6:$C$40,0)),"?"))</f>
        <v/>
      </c>
    </row>
    <row r="27" customFormat="false" ht="15" hidden="false" customHeight="false" outlineLevel="0" collapsed="false">
      <c r="B27" s="34"/>
      <c r="C27" s="32"/>
      <c r="D27" s="32"/>
      <c r="E27" s="33"/>
      <c r="F27" s="35" t="str">
        <f aca="false">IF(C27="","",IFERROR(INDEX(Kategorier!$B$6:$B$40,MATCH(C27,Kategorier!$C$6:$C$40,0)),"?"))</f>
        <v/>
      </c>
    </row>
    <row r="28" customFormat="false" ht="15" hidden="false" customHeight="false" outlineLevel="0" collapsed="false">
      <c r="B28" s="34"/>
      <c r="C28" s="32"/>
      <c r="D28" s="32"/>
      <c r="E28" s="33"/>
      <c r="F28" s="35" t="str">
        <f aca="false">IF(C28="","",IFERROR(INDEX(Kategorier!$B$6:$B$40,MATCH(C28,Kategorier!$C$6:$C$40,0)),"?"))</f>
        <v/>
      </c>
    </row>
    <row r="29" customFormat="false" ht="15" hidden="false" customHeight="false" outlineLevel="0" collapsed="false">
      <c r="B29" s="34"/>
      <c r="C29" s="32"/>
      <c r="D29" s="32"/>
      <c r="E29" s="33"/>
      <c r="F29" s="35" t="str">
        <f aca="false">IF(C29="","",IFERROR(INDEX(Kategorier!$B$6:$B$40,MATCH(C29,Kategorier!$C$6:$C$40,0)),"?"))</f>
        <v/>
      </c>
    </row>
    <row r="30" customFormat="false" ht="15" hidden="false" customHeight="false" outlineLevel="0" collapsed="false">
      <c r="B30" s="34"/>
      <c r="C30" s="32"/>
      <c r="D30" s="32"/>
      <c r="E30" s="33"/>
      <c r="F30" s="35" t="str">
        <f aca="false">IF(C30="","",IFERROR(INDEX(Kategorier!$B$6:$B$40,MATCH(C30,Kategorier!$C$6:$C$40,0)),"?"))</f>
        <v/>
      </c>
    </row>
    <row r="31" customFormat="false" ht="15" hidden="false" customHeight="false" outlineLevel="0" collapsed="false">
      <c r="B31" s="34"/>
      <c r="C31" s="32"/>
      <c r="D31" s="32"/>
      <c r="E31" s="33"/>
      <c r="F31" s="35" t="str">
        <f aca="false">IF(C31="","",IFERROR(INDEX(Kategorier!$B$6:$B$40,MATCH(C31,Kategorier!$C$6:$C$40,0)),"?"))</f>
        <v/>
      </c>
    </row>
    <row r="32" customFormat="false" ht="15" hidden="false" customHeight="false" outlineLevel="0" collapsed="false">
      <c r="B32" s="34"/>
      <c r="C32" s="32"/>
      <c r="D32" s="32"/>
      <c r="E32" s="33"/>
      <c r="F32" s="35" t="str">
        <f aca="false">IF(C32="","",IFERROR(INDEX(Kategorier!$B$6:$B$40,MATCH(C32,Kategorier!$C$6:$C$40,0)),"?"))</f>
        <v/>
      </c>
    </row>
    <row r="33" customFormat="false" ht="15" hidden="false" customHeight="false" outlineLevel="0" collapsed="false">
      <c r="B33" s="34"/>
      <c r="C33" s="32"/>
      <c r="D33" s="32"/>
      <c r="E33" s="33"/>
      <c r="F33" s="35" t="str">
        <f aca="false">IF(C33="","",IFERROR(INDEX(Kategorier!$B$6:$B$40,MATCH(C33,Kategorier!$C$6:$C$40,0)),"?"))</f>
        <v/>
      </c>
    </row>
    <row r="34" customFormat="false" ht="15" hidden="false" customHeight="false" outlineLevel="0" collapsed="false">
      <c r="B34" s="34"/>
      <c r="C34" s="32"/>
      <c r="D34" s="32"/>
      <c r="E34" s="33"/>
      <c r="F34" s="35" t="str">
        <f aca="false">IF(C34="","",IFERROR(INDEX(Kategorier!$B$6:$B$40,MATCH(C34,Kategorier!$C$6:$C$40,0)),"?"))</f>
        <v/>
      </c>
    </row>
    <row r="35" customFormat="false" ht="15" hidden="false" customHeight="false" outlineLevel="0" collapsed="false">
      <c r="B35" s="34"/>
      <c r="C35" s="32"/>
      <c r="D35" s="32"/>
      <c r="E35" s="33"/>
      <c r="F35" s="35" t="str">
        <f aca="false">IF(C35="","",IFERROR(INDEX(Kategorier!$B$6:$B$40,MATCH(C35,Kategorier!$C$6:$C$40,0)),"?"))</f>
        <v/>
      </c>
    </row>
    <row r="36" customFormat="false" ht="15" hidden="false" customHeight="false" outlineLevel="0" collapsed="false">
      <c r="B36" s="34"/>
      <c r="C36" s="32"/>
      <c r="D36" s="32"/>
      <c r="E36" s="33"/>
      <c r="F36" s="35" t="str">
        <f aca="false">IF(C36="","",IFERROR(INDEX(Kategorier!$B$6:$B$40,MATCH(C36,Kategorier!$C$6:$C$40,0)),"?"))</f>
        <v/>
      </c>
    </row>
    <row r="37" customFormat="false" ht="15" hidden="false" customHeight="false" outlineLevel="0" collapsed="false">
      <c r="B37" s="34"/>
      <c r="C37" s="32"/>
      <c r="D37" s="32"/>
      <c r="E37" s="33"/>
      <c r="F37" s="35" t="str">
        <f aca="false">IF(C37="","",IFERROR(INDEX(Kategorier!$B$6:$B$40,MATCH(C37,Kategorier!$C$6:$C$40,0)),"?"))</f>
        <v/>
      </c>
    </row>
    <row r="38" customFormat="false" ht="15" hidden="false" customHeight="false" outlineLevel="0" collapsed="false">
      <c r="B38" s="34"/>
      <c r="C38" s="32"/>
      <c r="D38" s="32"/>
      <c r="E38" s="33"/>
      <c r="F38" s="35" t="str">
        <f aca="false">IF(C38="","",IFERROR(INDEX(Kategorier!$B$6:$B$40,MATCH(C38,Kategorier!$C$6:$C$40,0)),"?"))</f>
        <v/>
      </c>
    </row>
    <row r="39" customFormat="false" ht="15" hidden="false" customHeight="false" outlineLevel="0" collapsed="false">
      <c r="B39" s="34"/>
      <c r="C39" s="32"/>
      <c r="D39" s="32"/>
      <c r="E39" s="33"/>
      <c r="F39" s="35" t="str">
        <f aca="false">IF(C39="","",IFERROR(INDEX(Kategorier!$B$6:$B$40,MATCH(C39,Kategorier!$C$6:$C$40,0)),"?"))</f>
        <v/>
      </c>
    </row>
    <row r="40" customFormat="false" ht="15" hidden="false" customHeight="false" outlineLevel="0" collapsed="false">
      <c r="B40" s="34"/>
      <c r="C40" s="32"/>
      <c r="D40" s="32"/>
      <c r="E40" s="33"/>
      <c r="F40" s="35" t="str">
        <f aca="false">IF(C40="","",IFERROR(INDEX(Kategorier!$B$6:$B$40,MATCH(C40,Kategorier!$C$6:$C$40,0)),"?"))</f>
        <v/>
      </c>
    </row>
    <row r="41" customFormat="false" ht="15" hidden="false" customHeight="false" outlineLevel="0" collapsed="false">
      <c r="B41" s="34"/>
      <c r="C41" s="32"/>
      <c r="D41" s="32"/>
      <c r="E41" s="33"/>
      <c r="F41" s="35" t="str">
        <f aca="false">IF(C41="","",IFERROR(INDEX(Kategorier!$B$6:$B$40,MATCH(C41,Kategorier!$C$6:$C$40,0)),"?"))</f>
        <v/>
      </c>
    </row>
    <row r="42" customFormat="false" ht="15" hidden="false" customHeight="false" outlineLevel="0" collapsed="false">
      <c r="B42" s="34"/>
      <c r="C42" s="32"/>
      <c r="D42" s="32"/>
      <c r="E42" s="33"/>
      <c r="F42" s="35" t="str">
        <f aca="false">IF(C42="","",IFERROR(INDEX(Kategorier!$B$6:$B$40,MATCH(C42,Kategorier!$C$6:$C$40,0)),"?"))</f>
        <v/>
      </c>
    </row>
    <row r="43" customFormat="false" ht="15" hidden="false" customHeight="false" outlineLevel="0" collapsed="false">
      <c r="B43" s="34"/>
      <c r="C43" s="32"/>
      <c r="D43" s="32"/>
      <c r="E43" s="33"/>
      <c r="F43" s="35" t="str">
        <f aca="false">IF(C43="","",IFERROR(INDEX(Kategorier!$B$6:$B$40,MATCH(C43,Kategorier!$C$6:$C$40,0)),"?"))</f>
        <v/>
      </c>
    </row>
    <row r="44" customFormat="false" ht="15" hidden="false" customHeight="false" outlineLevel="0" collapsed="false">
      <c r="B44" s="34"/>
      <c r="C44" s="32"/>
      <c r="D44" s="32"/>
      <c r="E44" s="33"/>
      <c r="F44" s="35" t="str">
        <f aca="false">IF(C44="","",IFERROR(INDEX(Kategorier!$B$6:$B$40,MATCH(C44,Kategorier!$C$6:$C$40,0)),"?"))</f>
        <v/>
      </c>
    </row>
    <row r="45" customFormat="false" ht="15" hidden="false" customHeight="false" outlineLevel="0" collapsed="false">
      <c r="B45" s="34"/>
      <c r="C45" s="32"/>
      <c r="D45" s="32"/>
      <c r="E45" s="33"/>
      <c r="F45" s="35" t="str">
        <f aca="false">IF(C45="","",IFERROR(INDEX(Kategorier!$B$6:$B$40,MATCH(C45,Kategorier!$C$6:$C$40,0)),"?"))</f>
        <v/>
      </c>
    </row>
    <row r="46" customFormat="false" ht="15" hidden="false" customHeight="false" outlineLevel="0" collapsed="false">
      <c r="B46" s="34"/>
      <c r="C46" s="32"/>
      <c r="D46" s="32"/>
      <c r="E46" s="33"/>
      <c r="F46" s="35" t="str">
        <f aca="false">IF(C46="","",IFERROR(INDEX(Kategorier!$B$6:$B$40,MATCH(C46,Kategorier!$C$6:$C$40,0)),"?"))</f>
        <v/>
      </c>
    </row>
    <row r="47" customFormat="false" ht="15" hidden="false" customHeight="false" outlineLevel="0" collapsed="false">
      <c r="B47" s="34"/>
      <c r="C47" s="32"/>
      <c r="D47" s="32"/>
      <c r="E47" s="33"/>
      <c r="F47" s="35" t="str">
        <f aca="false">IF(C47="","",IFERROR(INDEX(Kategorier!$B$6:$B$40,MATCH(C47,Kategorier!$C$6:$C$40,0)),"?"))</f>
        <v/>
      </c>
    </row>
    <row r="48" customFormat="false" ht="15" hidden="false" customHeight="false" outlineLevel="0" collapsed="false">
      <c r="B48" s="34"/>
      <c r="C48" s="32"/>
      <c r="D48" s="32"/>
      <c r="E48" s="33"/>
      <c r="F48" s="35" t="str">
        <f aca="false">IF(C48="","",IFERROR(INDEX(Kategorier!$B$6:$B$40,MATCH(C48,Kategorier!$C$6:$C$40,0)),"?"))</f>
        <v/>
      </c>
    </row>
    <row r="49" customFormat="false" ht="15" hidden="false" customHeight="false" outlineLevel="0" collapsed="false">
      <c r="B49" s="34"/>
      <c r="C49" s="32"/>
      <c r="D49" s="32"/>
      <c r="E49" s="33"/>
      <c r="F49" s="35" t="str">
        <f aca="false">IF(C49="","",IFERROR(INDEX(Kategorier!$B$6:$B$40,MATCH(C49,Kategorier!$C$6:$C$40,0)),"?"))</f>
        <v/>
      </c>
    </row>
    <row r="50" customFormat="false" ht="15" hidden="false" customHeight="false" outlineLevel="0" collapsed="false">
      <c r="B50" s="34"/>
      <c r="C50" s="32"/>
      <c r="D50" s="32"/>
      <c r="E50" s="33"/>
      <c r="F50" s="35" t="str">
        <f aca="false">IF(C50="","",IFERROR(INDEX(Kategorier!$B$6:$B$40,MATCH(C50,Kategorier!$C$6:$C$40,0)),"?"))</f>
        <v/>
      </c>
    </row>
    <row r="51" customFormat="false" ht="15" hidden="false" customHeight="false" outlineLevel="0" collapsed="false">
      <c r="B51" s="34"/>
      <c r="C51" s="32"/>
      <c r="D51" s="32"/>
      <c r="E51" s="33"/>
      <c r="F51" s="35" t="str">
        <f aca="false">IF(C51="","",IFERROR(INDEX(Kategorier!$B$6:$B$40,MATCH(C51,Kategorier!$C$6:$C$40,0)),"?"))</f>
        <v/>
      </c>
    </row>
    <row r="52" customFormat="false" ht="15" hidden="false" customHeight="false" outlineLevel="0" collapsed="false">
      <c r="B52" s="34"/>
      <c r="C52" s="32"/>
      <c r="D52" s="32"/>
      <c r="E52" s="33"/>
      <c r="F52" s="35" t="str">
        <f aca="false">IF(C52="","",IFERROR(INDEX(Kategorier!$B$6:$B$40,MATCH(C52,Kategorier!$C$6:$C$40,0)),"?"))</f>
        <v/>
      </c>
    </row>
    <row r="53" customFormat="false" ht="15" hidden="false" customHeight="false" outlineLevel="0" collapsed="false">
      <c r="B53" s="34"/>
      <c r="C53" s="32"/>
      <c r="D53" s="32"/>
      <c r="E53" s="33"/>
      <c r="F53" s="35" t="str">
        <f aca="false">IF(C53="","",IFERROR(INDEX(Kategorier!$B$6:$B$40,MATCH(C53,Kategorier!$C$6:$C$40,0)),"?"))</f>
        <v/>
      </c>
    </row>
    <row r="54" customFormat="false" ht="15" hidden="false" customHeight="false" outlineLevel="0" collapsed="false">
      <c r="B54" s="34"/>
      <c r="C54" s="32"/>
      <c r="D54" s="32"/>
      <c r="E54" s="33"/>
      <c r="F54" s="35" t="str">
        <f aca="false">IF(C54="","",IFERROR(INDEX(Kategorier!$B$6:$B$40,MATCH(C54,Kategorier!$C$6:$C$40,0)),"?"))</f>
        <v/>
      </c>
    </row>
    <row r="55" customFormat="false" ht="15" hidden="false" customHeight="false" outlineLevel="0" collapsed="false">
      <c r="B55" s="34"/>
      <c r="C55" s="32"/>
      <c r="D55" s="32"/>
      <c r="E55" s="33"/>
      <c r="F55" s="35" t="str">
        <f aca="false">IF(C55="","",IFERROR(INDEX(Kategorier!$B$6:$B$40,MATCH(C55,Kategorier!$C$6:$C$40,0)),"?"))</f>
        <v/>
      </c>
    </row>
    <row r="56" customFormat="false" ht="15" hidden="false" customHeight="false" outlineLevel="0" collapsed="false">
      <c r="B56" s="34"/>
      <c r="C56" s="32"/>
      <c r="D56" s="32"/>
      <c r="E56" s="33"/>
      <c r="F56" s="35" t="str">
        <f aca="false">IF(C56="","",IFERROR(INDEX(Kategorier!$B$6:$B$40,MATCH(C56,Kategorier!$C$6:$C$40,0)),"?"))</f>
        <v/>
      </c>
    </row>
    <row r="57" customFormat="false" ht="15" hidden="false" customHeight="false" outlineLevel="0" collapsed="false">
      <c r="B57" s="34"/>
      <c r="C57" s="32"/>
      <c r="D57" s="32"/>
      <c r="E57" s="33"/>
      <c r="F57" s="35" t="str">
        <f aca="false">IF(C57="","",IFERROR(INDEX(Kategorier!$B$6:$B$40,MATCH(C57,Kategorier!$C$6:$C$40,0)),"?"))</f>
        <v/>
      </c>
    </row>
    <row r="58" customFormat="false" ht="15" hidden="false" customHeight="false" outlineLevel="0" collapsed="false">
      <c r="B58" s="34"/>
      <c r="C58" s="32"/>
      <c r="D58" s="32"/>
      <c r="E58" s="33"/>
      <c r="F58" s="35" t="str">
        <f aca="false">IF(C58="","",IFERROR(INDEX(Kategorier!$B$6:$B$40,MATCH(C58,Kategorier!$C$6:$C$40,0)),"?"))</f>
        <v/>
      </c>
    </row>
    <row r="59" customFormat="false" ht="15" hidden="false" customHeight="false" outlineLevel="0" collapsed="false">
      <c r="B59" s="34"/>
      <c r="C59" s="32"/>
      <c r="D59" s="32"/>
      <c r="E59" s="33"/>
      <c r="F59" s="35" t="str">
        <f aca="false">IF(C59="","",IFERROR(INDEX(Kategorier!$B$6:$B$40,MATCH(C59,Kategorier!$C$6:$C$40,0)),"?"))</f>
        <v/>
      </c>
    </row>
    <row r="60" customFormat="false" ht="15" hidden="false" customHeight="false" outlineLevel="0" collapsed="false">
      <c r="B60" s="34"/>
      <c r="C60" s="32"/>
      <c r="D60" s="32"/>
      <c r="E60" s="33"/>
      <c r="F60" s="35" t="str">
        <f aca="false">IF(C60="","",IFERROR(INDEX(Kategorier!$B$6:$B$40,MATCH(C60,Kategorier!$C$6:$C$40,0)),"?"))</f>
        <v/>
      </c>
    </row>
    <row r="61" customFormat="false" ht="15" hidden="false" customHeight="false" outlineLevel="0" collapsed="false">
      <c r="B61" s="34"/>
      <c r="C61" s="32"/>
      <c r="D61" s="32"/>
      <c r="E61" s="33"/>
      <c r="F61" s="35" t="str">
        <f aca="false">IF(C61="","",IFERROR(INDEX(Kategorier!$B$6:$B$40,MATCH(C61,Kategorier!$C$6:$C$40,0)),"?"))</f>
        <v/>
      </c>
    </row>
    <row r="62" customFormat="false" ht="15" hidden="false" customHeight="false" outlineLevel="0" collapsed="false">
      <c r="B62" s="34"/>
      <c r="C62" s="32"/>
      <c r="D62" s="32"/>
      <c r="E62" s="33"/>
      <c r="F62" s="35" t="str">
        <f aca="false">IF(C62="","",IFERROR(INDEX(Kategorier!$B$6:$B$40,MATCH(C62,Kategorier!$C$6:$C$40,0)),"?"))</f>
        <v/>
      </c>
    </row>
    <row r="63" customFormat="false" ht="15" hidden="false" customHeight="false" outlineLevel="0" collapsed="false">
      <c r="B63" s="34"/>
      <c r="C63" s="32"/>
      <c r="D63" s="32"/>
      <c r="E63" s="33"/>
      <c r="F63" s="35" t="str">
        <f aca="false">IF(C63="","",IFERROR(INDEX(Kategorier!$B$6:$B$40,MATCH(C63,Kategorier!$C$6:$C$40,0)),"?"))</f>
        <v/>
      </c>
    </row>
    <row r="64" customFormat="false" ht="15" hidden="false" customHeight="false" outlineLevel="0" collapsed="false">
      <c r="B64" s="34"/>
      <c r="C64" s="32"/>
      <c r="D64" s="32"/>
      <c r="E64" s="33"/>
      <c r="F64" s="35" t="str">
        <f aca="false">IF(C64="","",IFERROR(INDEX(Kategorier!$B$6:$B$40,MATCH(C64,Kategorier!$C$6:$C$40,0)),"?"))</f>
        <v/>
      </c>
    </row>
    <row r="65" customFormat="false" ht="15" hidden="false" customHeight="false" outlineLevel="0" collapsed="false">
      <c r="B65" s="34"/>
      <c r="C65" s="32"/>
      <c r="D65" s="32"/>
      <c r="E65" s="33"/>
      <c r="F65" s="35" t="str">
        <f aca="false">IF(C65="","",IFERROR(INDEX(Kategorier!$B$6:$B$40,MATCH(C65,Kategorier!$C$6:$C$40,0)),"?"))</f>
        <v/>
      </c>
    </row>
    <row r="66" customFormat="false" ht="15" hidden="false" customHeight="false" outlineLevel="0" collapsed="false">
      <c r="B66" s="34"/>
      <c r="C66" s="32"/>
      <c r="D66" s="32"/>
      <c r="E66" s="33"/>
      <c r="F66" s="35" t="str">
        <f aca="false">IF(C66="","",IFERROR(INDEX(Kategorier!$B$6:$B$40,MATCH(C66,Kategorier!$C$6:$C$40,0)),"?"))</f>
        <v/>
      </c>
    </row>
    <row r="67" customFormat="false" ht="15" hidden="false" customHeight="false" outlineLevel="0" collapsed="false">
      <c r="B67" s="34"/>
      <c r="C67" s="32"/>
      <c r="D67" s="32"/>
      <c r="E67" s="33"/>
      <c r="F67" s="35" t="str">
        <f aca="false">IF(C67="","",IFERROR(INDEX(Kategorier!$B$6:$B$40,MATCH(C67,Kategorier!$C$6:$C$40,0)),"?"))</f>
        <v/>
      </c>
    </row>
    <row r="68" customFormat="false" ht="15" hidden="false" customHeight="false" outlineLevel="0" collapsed="false">
      <c r="B68" s="34"/>
      <c r="C68" s="32"/>
      <c r="D68" s="32"/>
      <c r="E68" s="33"/>
      <c r="F68" s="35" t="str">
        <f aca="false">IF(C68="","",IFERROR(INDEX(Kategorier!$B$6:$B$40,MATCH(C68,Kategorier!$C$6:$C$40,0)),"?"))</f>
        <v/>
      </c>
    </row>
    <row r="69" customFormat="false" ht="15" hidden="false" customHeight="false" outlineLevel="0" collapsed="false">
      <c r="B69" s="34"/>
      <c r="C69" s="32"/>
      <c r="D69" s="32"/>
      <c r="E69" s="33"/>
      <c r="F69" s="35" t="str">
        <f aca="false">IF(C69="","",IFERROR(INDEX(Kategorier!$B$6:$B$40,MATCH(C69,Kategorier!$C$6:$C$40,0)),"?"))</f>
        <v/>
      </c>
    </row>
    <row r="70" customFormat="false" ht="15" hidden="false" customHeight="false" outlineLevel="0" collapsed="false">
      <c r="B70" s="34"/>
      <c r="C70" s="32"/>
      <c r="D70" s="32"/>
      <c r="E70" s="33"/>
      <c r="F70" s="35" t="str">
        <f aca="false">IF(C70="","",IFERROR(INDEX(Kategorier!$B$6:$B$40,MATCH(C70,Kategorier!$C$6:$C$40,0)),"?"))</f>
        <v/>
      </c>
    </row>
    <row r="71" customFormat="false" ht="15" hidden="false" customHeight="false" outlineLevel="0" collapsed="false">
      <c r="B71" s="34"/>
      <c r="C71" s="32"/>
      <c r="D71" s="32"/>
      <c r="E71" s="33"/>
      <c r="F71" s="35" t="str">
        <f aca="false">IF(C71="","",IFERROR(INDEX(Kategorier!$B$6:$B$40,MATCH(C71,Kategorier!$C$6:$C$40,0)),"?"))</f>
        <v/>
      </c>
    </row>
    <row r="72" customFormat="false" ht="15" hidden="false" customHeight="false" outlineLevel="0" collapsed="false">
      <c r="B72" s="34"/>
      <c r="C72" s="32"/>
      <c r="D72" s="32"/>
      <c r="E72" s="33"/>
      <c r="F72" s="35" t="str">
        <f aca="false">IF(C72="","",IFERROR(INDEX(Kategorier!$B$6:$B$40,MATCH(C72,Kategorier!$C$6:$C$40,0)),"?"))</f>
        <v/>
      </c>
    </row>
    <row r="73" customFormat="false" ht="15" hidden="false" customHeight="false" outlineLevel="0" collapsed="false">
      <c r="B73" s="34"/>
      <c r="C73" s="32"/>
      <c r="D73" s="32"/>
      <c r="E73" s="33"/>
      <c r="F73" s="35" t="str">
        <f aca="false">IF(C73="","",IFERROR(INDEX(Kategorier!$B$6:$B$40,MATCH(C73,Kategorier!$C$6:$C$40,0)),"?"))</f>
        <v/>
      </c>
    </row>
    <row r="74" customFormat="false" ht="15" hidden="false" customHeight="false" outlineLevel="0" collapsed="false">
      <c r="B74" s="34"/>
      <c r="C74" s="32"/>
      <c r="D74" s="32"/>
      <c r="E74" s="33"/>
      <c r="F74" s="35" t="str">
        <f aca="false">IF(C74="","",IFERROR(INDEX(Kategorier!$B$6:$B$40,MATCH(C74,Kategorier!$C$6:$C$40,0)),"?"))</f>
        <v/>
      </c>
    </row>
    <row r="75" customFormat="false" ht="15" hidden="false" customHeight="false" outlineLevel="0" collapsed="false">
      <c r="B75" s="34"/>
      <c r="C75" s="32"/>
      <c r="D75" s="32"/>
      <c r="E75" s="33"/>
      <c r="F75" s="35" t="str">
        <f aca="false">IF(C75="","",IFERROR(INDEX(Kategorier!$B$6:$B$40,MATCH(C75,Kategorier!$C$6:$C$40,0)),"?"))</f>
        <v/>
      </c>
    </row>
    <row r="76" customFormat="false" ht="15" hidden="false" customHeight="false" outlineLevel="0" collapsed="false">
      <c r="B76" s="34"/>
      <c r="C76" s="32"/>
      <c r="D76" s="32"/>
      <c r="E76" s="33"/>
      <c r="F76" s="35" t="str">
        <f aca="false">IF(C76="","",IFERROR(INDEX(Kategorier!$B$6:$B$40,MATCH(C76,Kategorier!$C$6:$C$40,0)),"?"))</f>
        <v/>
      </c>
    </row>
    <row r="77" customFormat="false" ht="15" hidden="false" customHeight="false" outlineLevel="0" collapsed="false">
      <c r="B77" s="34"/>
      <c r="C77" s="32"/>
      <c r="D77" s="32"/>
      <c r="E77" s="33"/>
      <c r="F77" s="35" t="str">
        <f aca="false">IF(C77="","",IFERROR(INDEX(Kategorier!$B$6:$B$40,MATCH(C77,Kategorier!$C$6:$C$40,0)),"?"))</f>
        <v/>
      </c>
    </row>
    <row r="78" customFormat="false" ht="15" hidden="false" customHeight="false" outlineLevel="0" collapsed="false">
      <c r="B78" s="34"/>
      <c r="C78" s="32"/>
      <c r="D78" s="32"/>
      <c r="E78" s="33"/>
      <c r="F78" s="35" t="str">
        <f aca="false">IF(C78="","",IFERROR(INDEX(Kategorier!$B$6:$B$40,MATCH(C78,Kategorier!$C$6:$C$40,0)),"?"))</f>
        <v/>
      </c>
    </row>
    <row r="79" customFormat="false" ht="15" hidden="false" customHeight="false" outlineLevel="0" collapsed="false">
      <c r="B79" s="34"/>
      <c r="C79" s="32"/>
      <c r="D79" s="32"/>
      <c r="E79" s="33"/>
      <c r="F79" s="35" t="str">
        <f aca="false">IF(C79="","",IFERROR(INDEX(Kategorier!$B$6:$B$40,MATCH(C79,Kategorier!$C$6:$C$40,0)),"?"))</f>
        <v/>
      </c>
    </row>
    <row r="80" customFormat="false" ht="15" hidden="false" customHeight="false" outlineLevel="0" collapsed="false">
      <c r="B80" s="34"/>
      <c r="C80" s="32"/>
      <c r="D80" s="32"/>
      <c r="E80" s="33"/>
      <c r="F80" s="35" t="str">
        <f aca="false">IF(C80="","",IFERROR(INDEX(Kategorier!$B$6:$B$40,MATCH(C80,Kategorier!$C$6:$C$40,0)),"?"))</f>
        <v/>
      </c>
    </row>
    <row r="81" customFormat="false" ht="15" hidden="false" customHeight="false" outlineLevel="0" collapsed="false">
      <c r="B81" s="34"/>
      <c r="C81" s="32"/>
      <c r="D81" s="32"/>
      <c r="E81" s="33"/>
      <c r="F81" s="35" t="str">
        <f aca="false">IF(C81="","",IFERROR(INDEX(Kategorier!$B$6:$B$40,MATCH(C81,Kategorier!$C$6:$C$40,0)),"?"))</f>
        <v/>
      </c>
    </row>
    <row r="82" customFormat="false" ht="15" hidden="false" customHeight="false" outlineLevel="0" collapsed="false">
      <c r="B82" s="34"/>
      <c r="C82" s="32"/>
      <c r="D82" s="32"/>
      <c r="E82" s="33"/>
      <c r="F82" s="35" t="str">
        <f aca="false">IF(C82="","",IFERROR(INDEX(Kategorier!$B$6:$B$40,MATCH(C82,Kategorier!$C$6:$C$40,0)),"?"))</f>
        <v/>
      </c>
    </row>
    <row r="83" customFormat="false" ht="15" hidden="false" customHeight="false" outlineLevel="0" collapsed="false">
      <c r="B83" s="34"/>
      <c r="C83" s="32"/>
      <c r="D83" s="32"/>
      <c r="E83" s="33"/>
      <c r="F83" s="35" t="str">
        <f aca="false">IF(C83="","",IFERROR(INDEX(Kategorier!$B$6:$B$40,MATCH(C83,Kategorier!$C$6:$C$40,0)),"?"))</f>
        <v/>
      </c>
    </row>
    <row r="84" customFormat="false" ht="15" hidden="false" customHeight="false" outlineLevel="0" collapsed="false">
      <c r="B84" s="34"/>
      <c r="C84" s="32"/>
      <c r="D84" s="32"/>
      <c r="E84" s="33"/>
      <c r="F84" s="35" t="str">
        <f aca="false">IF(C84="","",IFERROR(INDEX(Kategorier!$B$6:$B$40,MATCH(C84,Kategorier!$C$6:$C$40,0)),"?"))</f>
        <v/>
      </c>
    </row>
    <row r="85" customFormat="false" ht="15" hidden="false" customHeight="false" outlineLevel="0" collapsed="false">
      <c r="B85" s="34"/>
      <c r="C85" s="32"/>
      <c r="D85" s="32"/>
      <c r="E85" s="33"/>
      <c r="F85" s="35" t="str">
        <f aca="false">IF(C85="","",IFERROR(INDEX(Kategorier!$B$6:$B$40,MATCH(C85,Kategorier!$C$6:$C$40,0)),"?"))</f>
        <v/>
      </c>
    </row>
    <row r="86" customFormat="false" ht="15" hidden="false" customHeight="false" outlineLevel="0" collapsed="false">
      <c r="B86" s="34"/>
      <c r="C86" s="32"/>
      <c r="D86" s="32"/>
      <c r="E86" s="33"/>
      <c r="F86" s="35" t="str">
        <f aca="false">IF(C86="","",IFERROR(INDEX(Kategorier!$B$6:$B$40,MATCH(C86,Kategorier!$C$6:$C$40,0)),"?"))</f>
        <v/>
      </c>
    </row>
    <row r="87" customFormat="false" ht="15" hidden="false" customHeight="false" outlineLevel="0" collapsed="false">
      <c r="B87" s="34"/>
      <c r="C87" s="32"/>
      <c r="D87" s="32"/>
      <c r="E87" s="33"/>
      <c r="F87" s="35" t="str">
        <f aca="false">IF(C87="","",IFERROR(INDEX(Kategorier!$B$6:$B$40,MATCH(C87,Kategorier!$C$6:$C$40,0)),"?"))</f>
        <v/>
      </c>
    </row>
    <row r="88" customFormat="false" ht="15" hidden="false" customHeight="false" outlineLevel="0" collapsed="false">
      <c r="B88" s="34"/>
      <c r="C88" s="32"/>
      <c r="D88" s="32"/>
      <c r="E88" s="33"/>
      <c r="F88" s="35" t="str">
        <f aca="false">IF(C88="","",IFERROR(INDEX(Kategorier!$B$6:$B$40,MATCH(C88,Kategorier!$C$6:$C$40,0)),"?"))</f>
        <v/>
      </c>
    </row>
    <row r="89" customFormat="false" ht="15" hidden="false" customHeight="false" outlineLevel="0" collapsed="false">
      <c r="B89" s="34"/>
      <c r="C89" s="32"/>
      <c r="D89" s="32"/>
      <c r="E89" s="33"/>
      <c r="F89" s="35" t="str">
        <f aca="false">IF(C89="","",IFERROR(INDEX(Kategorier!$B$6:$B$40,MATCH(C89,Kategorier!$C$6:$C$40,0)),"?"))</f>
        <v/>
      </c>
    </row>
    <row r="90" customFormat="false" ht="15" hidden="false" customHeight="false" outlineLevel="0" collapsed="false">
      <c r="B90" s="34"/>
      <c r="C90" s="32"/>
      <c r="D90" s="32"/>
      <c r="E90" s="33"/>
      <c r="F90" s="35" t="str">
        <f aca="false">IF(C90="","",IFERROR(INDEX(Kategorier!$B$6:$B$40,MATCH(C90,Kategorier!$C$6:$C$40,0)),"?"))</f>
        <v/>
      </c>
    </row>
    <row r="91" customFormat="false" ht="15" hidden="false" customHeight="false" outlineLevel="0" collapsed="false">
      <c r="B91" s="34"/>
      <c r="C91" s="32"/>
      <c r="D91" s="32"/>
      <c r="E91" s="33"/>
      <c r="F91" s="35" t="str">
        <f aca="false">IF(C91="","",IFERROR(INDEX(Kategorier!$B$6:$B$40,MATCH(C91,Kategorier!$C$6:$C$40,0)),"?"))</f>
        <v/>
      </c>
    </row>
    <row r="92" customFormat="false" ht="15" hidden="false" customHeight="false" outlineLevel="0" collapsed="false">
      <c r="B92" s="34"/>
      <c r="C92" s="32"/>
      <c r="D92" s="32"/>
      <c r="E92" s="33"/>
      <c r="F92" s="35" t="str">
        <f aca="false">IF(C92="","",IFERROR(INDEX(Kategorier!$B$6:$B$40,MATCH(C92,Kategorier!$C$6:$C$40,0)),"?"))</f>
        <v/>
      </c>
    </row>
    <row r="93" customFormat="false" ht="15" hidden="false" customHeight="false" outlineLevel="0" collapsed="false">
      <c r="B93" s="34"/>
      <c r="C93" s="32"/>
      <c r="D93" s="32"/>
      <c r="E93" s="33"/>
      <c r="F93" s="35" t="str">
        <f aca="false">IF(C93="","",IFERROR(INDEX(Kategorier!$B$6:$B$40,MATCH(C93,Kategorier!$C$6:$C$40,0)),"?"))</f>
        <v/>
      </c>
    </row>
    <row r="94" customFormat="false" ht="15" hidden="false" customHeight="false" outlineLevel="0" collapsed="false">
      <c r="B94" s="34"/>
      <c r="C94" s="32"/>
      <c r="D94" s="32"/>
      <c r="E94" s="33"/>
      <c r="F94" s="35" t="str">
        <f aca="false">IF(C94="","",IFERROR(INDEX(Kategorier!$B$6:$B$40,MATCH(C94,Kategorier!$C$6:$C$40,0)),"?"))</f>
        <v/>
      </c>
    </row>
    <row r="95" customFormat="false" ht="15" hidden="false" customHeight="false" outlineLevel="0" collapsed="false">
      <c r="B95" s="34"/>
      <c r="C95" s="32"/>
      <c r="D95" s="32"/>
      <c r="E95" s="33"/>
      <c r="F95" s="35" t="str">
        <f aca="false">IF(C95="","",IFERROR(INDEX(Kategorier!$B$6:$B$40,MATCH(C95,Kategorier!$C$6:$C$40,0)),"?"))</f>
        <v/>
      </c>
    </row>
    <row r="96" customFormat="false" ht="15" hidden="false" customHeight="false" outlineLevel="0" collapsed="false">
      <c r="B96" s="34"/>
      <c r="C96" s="32"/>
      <c r="D96" s="32"/>
      <c r="E96" s="33"/>
      <c r="F96" s="35" t="str">
        <f aca="false">IF(C96="","",IFERROR(INDEX(Kategorier!$B$6:$B$40,MATCH(C96,Kategorier!$C$6:$C$40,0)),"?"))</f>
        <v/>
      </c>
    </row>
    <row r="97" customFormat="false" ht="15" hidden="false" customHeight="false" outlineLevel="0" collapsed="false">
      <c r="B97" s="34"/>
      <c r="C97" s="32"/>
      <c r="D97" s="32"/>
      <c r="E97" s="33"/>
      <c r="F97" s="35" t="str">
        <f aca="false">IF(C97="","",IFERROR(INDEX(Kategorier!$B$6:$B$40,MATCH(C97,Kategorier!$C$6:$C$40,0)),"?"))</f>
        <v/>
      </c>
    </row>
    <row r="98" customFormat="false" ht="15" hidden="false" customHeight="false" outlineLevel="0" collapsed="false">
      <c r="B98" s="34"/>
      <c r="C98" s="32"/>
      <c r="D98" s="32"/>
      <c r="E98" s="33"/>
      <c r="F98" s="35" t="str">
        <f aca="false">IF(C98="","",IFERROR(INDEX(Kategorier!$B$6:$B$40,MATCH(C98,Kategorier!$C$6:$C$40,0)),"?"))</f>
        <v/>
      </c>
    </row>
    <row r="99" customFormat="false" ht="15" hidden="false" customHeight="false" outlineLevel="0" collapsed="false">
      <c r="B99" s="34"/>
      <c r="C99" s="32"/>
      <c r="D99" s="32"/>
      <c r="E99" s="33"/>
      <c r="F99" s="35" t="str">
        <f aca="false">IF(C99="","",IFERROR(INDEX(Kategorier!$B$6:$B$40,MATCH(C99,Kategorier!$C$6:$C$40,0)),"?"))</f>
        <v/>
      </c>
    </row>
    <row r="100" customFormat="false" ht="15" hidden="false" customHeight="false" outlineLevel="0" collapsed="false">
      <c r="B100" s="34"/>
      <c r="C100" s="32"/>
      <c r="D100" s="32"/>
      <c r="E100" s="33"/>
      <c r="F100" s="35" t="str">
        <f aca="false">IF(C100="","",IFERROR(INDEX(Kategorier!$B$6:$B$40,MATCH(C100,Kategorier!$C$6:$C$40,0)),"?"))</f>
        <v/>
      </c>
    </row>
    <row r="101" customFormat="false" ht="15" hidden="false" customHeight="false" outlineLevel="0" collapsed="false">
      <c r="B101" s="34"/>
      <c r="C101" s="32"/>
      <c r="D101" s="32"/>
      <c r="E101" s="33"/>
      <c r="F101" s="35" t="str">
        <f aca="false">IF(C101="","",IFERROR(INDEX(Kategorier!$B$6:$B$40,MATCH(C101,Kategorier!$C$6:$C$40,0)),"?"))</f>
        <v/>
      </c>
    </row>
    <row r="102" customFormat="false" ht="15" hidden="false" customHeight="false" outlineLevel="0" collapsed="false">
      <c r="B102" s="34"/>
      <c r="C102" s="32"/>
      <c r="D102" s="32"/>
      <c r="E102" s="33"/>
      <c r="F102" s="35" t="str">
        <f aca="false">IF(C102="","",IFERROR(INDEX(Kategorier!$B$6:$B$40,MATCH(C102,Kategorier!$C$6:$C$40,0)),"?"))</f>
        <v/>
      </c>
    </row>
    <row r="103" customFormat="false" ht="15" hidden="false" customHeight="false" outlineLevel="0" collapsed="false">
      <c r="B103" s="34"/>
      <c r="C103" s="32"/>
      <c r="D103" s="32"/>
      <c r="E103" s="33"/>
      <c r="F103" s="35" t="str">
        <f aca="false">IF(C103="","",IFERROR(INDEX(Kategorier!$B$6:$B$40,MATCH(C103,Kategorier!$C$6:$C$40,0)),"?"))</f>
        <v/>
      </c>
    </row>
    <row r="104" customFormat="false" ht="15" hidden="false" customHeight="false" outlineLevel="0" collapsed="false">
      <c r="B104" s="34"/>
      <c r="C104" s="32"/>
      <c r="D104" s="32"/>
      <c r="E104" s="33"/>
      <c r="F104" s="35" t="str">
        <f aca="false">IF(C104="","",IFERROR(INDEX(Kategorier!$B$6:$B$40,MATCH(C104,Kategorier!$C$6:$C$40,0)),"?"))</f>
        <v/>
      </c>
    </row>
    <row r="105" customFormat="false" ht="15" hidden="false" customHeight="false" outlineLevel="0" collapsed="false">
      <c r="B105" s="34"/>
      <c r="C105" s="32"/>
      <c r="D105" s="32"/>
      <c r="E105" s="33"/>
      <c r="F105" s="35" t="str">
        <f aca="false">IF(C105="","",IFERROR(INDEX(Kategorier!$B$6:$B$40,MATCH(C105,Kategorier!$C$6:$C$40,0)),"?"))</f>
        <v/>
      </c>
    </row>
    <row r="106" customFormat="false" ht="15" hidden="false" customHeight="false" outlineLevel="0" collapsed="false">
      <c r="B106" s="34"/>
      <c r="C106" s="32"/>
      <c r="D106" s="32"/>
      <c r="E106" s="33"/>
      <c r="F106" s="35" t="str">
        <f aca="false">IF(C106="","",IFERROR(INDEX(Kategorier!$B$6:$B$40,MATCH(C106,Kategorier!$C$6:$C$40,0)),"?"))</f>
        <v/>
      </c>
    </row>
    <row r="107" customFormat="false" ht="15" hidden="false" customHeight="false" outlineLevel="0" collapsed="false">
      <c r="B107" s="34"/>
      <c r="C107" s="32"/>
      <c r="D107" s="32"/>
      <c r="E107" s="33"/>
      <c r="F107" s="35" t="str">
        <f aca="false">IF(C107="","",IFERROR(INDEX(Kategorier!$B$6:$B$40,MATCH(C107,Kategorier!$C$6:$C$40,0)),"?"))</f>
        <v/>
      </c>
    </row>
    <row r="108" customFormat="false" ht="15" hidden="false" customHeight="false" outlineLevel="0" collapsed="false">
      <c r="B108" s="34"/>
      <c r="C108" s="32"/>
      <c r="D108" s="32"/>
      <c r="E108" s="33"/>
      <c r="F108" s="35" t="str">
        <f aca="false">IF(C108="","",IFERROR(INDEX(Kategorier!$B$6:$B$40,MATCH(C108,Kategorier!$C$6:$C$40,0)),"?"))</f>
        <v/>
      </c>
    </row>
    <row r="109" customFormat="false" ht="15" hidden="false" customHeight="false" outlineLevel="0" collapsed="false">
      <c r="B109" s="34"/>
      <c r="C109" s="32"/>
      <c r="D109" s="32"/>
      <c r="E109" s="33"/>
      <c r="F109" s="35" t="str">
        <f aca="false">IF(C109="","",IFERROR(INDEX(Kategorier!$B$6:$B$40,MATCH(C109,Kategorier!$C$6:$C$40,0)),"?"))</f>
        <v/>
      </c>
    </row>
    <row r="110" customFormat="false" ht="15" hidden="false" customHeight="false" outlineLevel="0" collapsed="false">
      <c r="B110" s="34"/>
      <c r="C110" s="32"/>
      <c r="D110" s="32"/>
      <c r="E110" s="33"/>
      <c r="F110" s="35" t="str">
        <f aca="false">IF(C110="","",IFERROR(INDEX(Kategorier!$B$6:$B$40,MATCH(C110,Kategorier!$C$6:$C$40,0)),"?"))</f>
        <v/>
      </c>
    </row>
    <row r="111" customFormat="false" ht="15" hidden="false" customHeight="false" outlineLevel="0" collapsed="false">
      <c r="B111" s="34"/>
      <c r="C111" s="32"/>
      <c r="D111" s="32"/>
      <c r="E111" s="33"/>
      <c r="F111" s="35" t="str">
        <f aca="false">IF(C111="","",IFERROR(INDEX(Kategorier!$B$6:$B$40,MATCH(C111,Kategorier!$C$6:$C$40,0)),"?"))</f>
        <v/>
      </c>
    </row>
    <row r="112" customFormat="false" ht="15" hidden="false" customHeight="false" outlineLevel="0" collapsed="false">
      <c r="B112" s="34"/>
      <c r="C112" s="32"/>
      <c r="D112" s="32"/>
      <c r="E112" s="33"/>
      <c r="F112" s="35" t="str">
        <f aca="false">IF(C112="","",IFERROR(INDEX(Kategorier!$B$6:$B$40,MATCH(C112,Kategorier!$C$6:$C$40,0)),"?"))</f>
        <v/>
      </c>
    </row>
    <row r="113" customFormat="false" ht="15" hidden="false" customHeight="false" outlineLevel="0" collapsed="false">
      <c r="B113" s="34"/>
      <c r="C113" s="32"/>
      <c r="D113" s="32"/>
      <c r="E113" s="33"/>
      <c r="F113" s="35" t="str">
        <f aca="false">IF(C113="","",IFERROR(INDEX(Kategorier!$B$6:$B$40,MATCH(C113,Kategorier!$C$6:$C$40,0)),"?"))</f>
        <v/>
      </c>
    </row>
    <row r="114" customFormat="false" ht="15" hidden="false" customHeight="false" outlineLevel="0" collapsed="false">
      <c r="B114" s="34"/>
      <c r="C114" s="32"/>
      <c r="D114" s="32"/>
      <c r="E114" s="33"/>
      <c r="F114" s="35" t="str">
        <f aca="false">IF(C114="","",IFERROR(INDEX(Kategorier!$B$6:$B$40,MATCH(C114,Kategorier!$C$6:$C$40,0)),"?"))</f>
        <v/>
      </c>
    </row>
    <row r="115" customFormat="false" ht="15" hidden="false" customHeight="false" outlineLevel="0" collapsed="false">
      <c r="B115" s="34"/>
      <c r="C115" s="32"/>
      <c r="D115" s="32"/>
      <c r="E115" s="33"/>
      <c r="F115" s="35" t="str">
        <f aca="false">IF(C115="","",IFERROR(INDEX(Kategorier!$B$6:$B$40,MATCH(C115,Kategorier!$C$6:$C$40,0)),"?"))</f>
        <v/>
      </c>
    </row>
    <row r="116" customFormat="false" ht="15" hidden="false" customHeight="false" outlineLevel="0" collapsed="false">
      <c r="B116" s="34"/>
      <c r="C116" s="32"/>
      <c r="D116" s="32"/>
      <c r="E116" s="33"/>
      <c r="F116" s="35" t="str">
        <f aca="false">IF(C116="","",IFERROR(INDEX(Kategorier!$B$6:$B$40,MATCH(C116,Kategorier!$C$6:$C$40,0)),"?"))</f>
        <v/>
      </c>
    </row>
    <row r="117" customFormat="false" ht="15" hidden="false" customHeight="false" outlineLevel="0" collapsed="false">
      <c r="B117" s="34"/>
      <c r="C117" s="32"/>
      <c r="D117" s="32"/>
      <c r="E117" s="33"/>
      <c r="F117" s="35" t="str">
        <f aca="false">IF(C117="","",IFERROR(INDEX(Kategorier!$B$6:$B$40,MATCH(C117,Kategorier!$C$6:$C$40,0)),"?"))</f>
        <v/>
      </c>
    </row>
    <row r="118" customFormat="false" ht="15" hidden="false" customHeight="false" outlineLevel="0" collapsed="false">
      <c r="B118" s="34"/>
      <c r="C118" s="32"/>
      <c r="D118" s="32"/>
      <c r="E118" s="33"/>
      <c r="F118" s="35" t="str">
        <f aca="false">IF(C118="","",IFERROR(INDEX(Kategorier!$B$6:$B$40,MATCH(C118,Kategorier!$C$6:$C$40,0)),"?"))</f>
        <v/>
      </c>
    </row>
    <row r="119" customFormat="false" ht="15" hidden="false" customHeight="false" outlineLevel="0" collapsed="false">
      <c r="B119" s="34"/>
      <c r="C119" s="32"/>
      <c r="D119" s="32"/>
      <c r="E119" s="33"/>
      <c r="F119" s="35" t="str">
        <f aca="false">IF(C119="","",IFERROR(INDEX(Kategorier!$B$6:$B$40,MATCH(C119,Kategorier!$C$6:$C$40,0)),"?"))</f>
        <v/>
      </c>
    </row>
    <row r="120" customFormat="false" ht="15" hidden="false" customHeight="false" outlineLevel="0" collapsed="false">
      <c r="B120" s="34"/>
      <c r="C120" s="32"/>
      <c r="D120" s="32"/>
      <c r="E120" s="33"/>
      <c r="F120" s="35" t="str">
        <f aca="false">IF(C120="","",IFERROR(INDEX(Kategorier!$B$6:$B$40,MATCH(C120,Kategorier!$C$6:$C$40,0)),"?"))</f>
        <v/>
      </c>
    </row>
    <row r="121" customFormat="false" ht="15" hidden="false" customHeight="false" outlineLevel="0" collapsed="false">
      <c r="B121" s="34"/>
      <c r="C121" s="32"/>
      <c r="D121" s="32"/>
      <c r="E121" s="33"/>
      <c r="F121" s="35" t="str">
        <f aca="false">IF(C121="","",IFERROR(INDEX(Kategorier!$B$6:$B$40,MATCH(C121,Kategorier!$C$6:$C$40,0)),"?"))</f>
        <v/>
      </c>
    </row>
    <row r="122" customFormat="false" ht="15" hidden="false" customHeight="false" outlineLevel="0" collapsed="false">
      <c r="B122" s="34"/>
      <c r="C122" s="32"/>
      <c r="D122" s="32"/>
      <c r="E122" s="33"/>
      <c r="F122" s="35" t="str">
        <f aca="false">IF(C122="","",IFERROR(INDEX(Kategorier!$B$6:$B$40,MATCH(C122,Kategorier!$C$6:$C$40,0)),"?"))</f>
        <v/>
      </c>
    </row>
    <row r="123" customFormat="false" ht="15" hidden="false" customHeight="false" outlineLevel="0" collapsed="false">
      <c r="B123" s="34"/>
      <c r="C123" s="32"/>
      <c r="D123" s="32"/>
      <c r="E123" s="33"/>
      <c r="F123" s="35" t="str">
        <f aca="false">IF(C123="","",IFERROR(INDEX(Kategorier!$B$6:$B$40,MATCH(C123,Kategorier!$C$6:$C$40,0)),"?"))</f>
        <v/>
      </c>
    </row>
    <row r="124" customFormat="false" ht="15" hidden="false" customHeight="false" outlineLevel="0" collapsed="false">
      <c r="B124" s="34"/>
      <c r="C124" s="32"/>
      <c r="D124" s="32"/>
      <c r="E124" s="33"/>
      <c r="F124" s="35" t="str">
        <f aca="false">IF(C124="","",IFERROR(INDEX(Kategorier!$B$6:$B$40,MATCH(C124,Kategorier!$C$6:$C$40,0)),"?"))</f>
        <v/>
      </c>
    </row>
    <row r="125" customFormat="false" ht="15" hidden="false" customHeight="false" outlineLevel="0" collapsed="false">
      <c r="B125" s="34"/>
      <c r="C125" s="32"/>
      <c r="D125" s="32"/>
      <c r="E125" s="33"/>
      <c r="F125" s="35" t="str">
        <f aca="false">IF(C125="","",IFERROR(INDEX(Kategorier!$B$6:$B$40,MATCH(C125,Kategorier!$C$6:$C$40,0)),"?"))</f>
        <v/>
      </c>
    </row>
    <row r="126" customFormat="false" ht="15" hidden="false" customHeight="false" outlineLevel="0" collapsed="false">
      <c r="B126" s="34"/>
      <c r="C126" s="32"/>
      <c r="D126" s="32"/>
      <c r="E126" s="33"/>
      <c r="F126" s="35" t="str">
        <f aca="false">IF(C126="","",IFERROR(INDEX(Kategorier!$B$6:$B$40,MATCH(C126,Kategorier!$C$6:$C$40,0)),"?"))</f>
        <v/>
      </c>
    </row>
    <row r="127" customFormat="false" ht="15" hidden="false" customHeight="false" outlineLevel="0" collapsed="false">
      <c r="B127" s="34"/>
      <c r="C127" s="32"/>
      <c r="D127" s="32"/>
      <c r="E127" s="33"/>
      <c r="F127" s="35" t="str">
        <f aca="false">IF(C127="","",IFERROR(INDEX(Kategorier!$B$6:$B$40,MATCH(C127,Kategorier!$C$6:$C$40,0)),"?"))</f>
        <v/>
      </c>
    </row>
    <row r="128" customFormat="false" ht="15" hidden="false" customHeight="false" outlineLevel="0" collapsed="false">
      <c r="B128" s="34"/>
      <c r="C128" s="32"/>
      <c r="D128" s="32"/>
      <c r="E128" s="33"/>
      <c r="F128" s="35" t="str">
        <f aca="false">IF(C128="","",IFERROR(INDEX(Kategorier!$B$6:$B$40,MATCH(C128,Kategorier!$C$6:$C$40,0)),"?"))</f>
        <v/>
      </c>
    </row>
    <row r="129" customFormat="false" ht="15" hidden="false" customHeight="false" outlineLevel="0" collapsed="false">
      <c r="B129" s="34"/>
      <c r="C129" s="32"/>
      <c r="D129" s="32"/>
      <c r="E129" s="33"/>
      <c r="F129" s="35" t="str">
        <f aca="false">IF(C129="","",IFERROR(INDEX(Kategorier!$B$6:$B$40,MATCH(C129,Kategorier!$C$6:$C$40,0)),"?"))</f>
        <v/>
      </c>
    </row>
    <row r="130" customFormat="false" ht="15" hidden="false" customHeight="false" outlineLevel="0" collapsed="false">
      <c r="B130" s="34"/>
      <c r="C130" s="32"/>
      <c r="D130" s="32"/>
      <c r="E130" s="33"/>
      <c r="F130" s="35" t="str">
        <f aca="false">IF(C130="","",IFERROR(INDEX(Kategorier!$B$6:$B$40,MATCH(C130,Kategorier!$C$6:$C$40,0)),"?"))</f>
        <v/>
      </c>
    </row>
    <row r="131" customFormat="false" ht="15" hidden="false" customHeight="false" outlineLevel="0" collapsed="false">
      <c r="B131" s="34"/>
      <c r="C131" s="32"/>
      <c r="D131" s="32"/>
      <c r="E131" s="33"/>
      <c r="F131" s="35" t="str">
        <f aca="false">IF(C131="","",IFERROR(INDEX(Kategorier!$B$6:$B$40,MATCH(C131,Kategorier!$C$6:$C$40,0)),"?"))</f>
        <v/>
      </c>
    </row>
    <row r="132" customFormat="false" ht="15" hidden="false" customHeight="false" outlineLevel="0" collapsed="false">
      <c r="B132" s="34"/>
      <c r="C132" s="32"/>
      <c r="D132" s="32"/>
      <c r="E132" s="33"/>
      <c r="F132" s="35" t="str">
        <f aca="false">IF(C132="","",IFERROR(INDEX(Kategorier!$B$6:$B$40,MATCH(C132,Kategorier!$C$6:$C$40,0)),"?"))</f>
        <v/>
      </c>
    </row>
    <row r="133" customFormat="false" ht="15" hidden="false" customHeight="false" outlineLevel="0" collapsed="false">
      <c r="B133" s="34"/>
      <c r="C133" s="32"/>
      <c r="D133" s="32"/>
      <c r="E133" s="33"/>
      <c r="F133" s="35" t="str">
        <f aca="false">IF(C133="","",IFERROR(INDEX(Kategorier!$B$6:$B$40,MATCH(C133,Kategorier!$C$6:$C$40,0)),"?"))</f>
        <v/>
      </c>
    </row>
    <row r="134" customFormat="false" ht="15" hidden="false" customHeight="false" outlineLevel="0" collapsed="false">
      <c r="B134" s="34"/>
      <c r="C134" s="32"/>
      <c r="D134" s="32"/>
      <c r="E134" s="33"/>
      <c r="F134" s="35" t="str">
        <f aca="false">IF(C134="","",IFERROR(INDEX(Kategorier!$B$6:$B$40,MATCH(C134,Kategorier!$C$6:$C$40,0)),"?"))</f>
        <v/>
      </c>
    </row>
    <row r="135" customFormat="false" ht="15" hidden="false" customHeight="false" outlineLevel="0" collapsed="false">
      <c r="B135" s="34"/>
      <c r="C135" s="32"/>
      <c r="D135" s="32"/>
      <c r="E135" s="33"/>
      <c r="F135" s="35" t="str">
        <f aca="false">IF(C135="","",IFERROR(INDEX(Kategorier!$B$6:$B$40,MATCH(C135,Kategorier!$C$6:$C$40,0)),"?"))</f>
        <v/>
      </c>
    </row>
    <row r="136" customFormat="false" ht="15" hidden="false" customHeight="false" outlineLevel="0" collapsed="false">
      <c r="B136" s="34"/>
      <c r="C136" s="32"/>
      <c r="D136" s="32"/>
      <c r="E136" s="33"/>
      <c r="F136" s="35" t="str">
        <f aca="false">IF(C136="","",IFERROR(INDEX(Kategorier!$B$6:$B$40,MATCH(C136,Kategorier!$C$6:$C$40,0)),"?"))</f>
        <v/>
      </c>
    </row>
    <row r="137" customFormat="false" ht="15" hidden="false" customHeight="false" outlineLevel="0" collapsed="false">
      <c r="B137" s="34"/>
      <c r="C137" s="32"/>
      <c r="D137" s="32"/>
      <c r="E137" s="33"/>
      <c r="F137" s="35" t="str">
        <f aca="false">IF(C137="","",IFERROR(INDEX(Kategorier!$B$6:$B$40,MATCH(C137,Kategorier!$C$6:$C$40,0)),"?"))</f>
        <v/>
      </c>
    </row>
    <row r="138" customFormat="false" ht="15" hidden="false" customHeight="false" outlineLevel="0" collapsed="false">
      <c r="B138" s="34"/>
      <c r="C138" s="32"/>
      <c r="D138" s="32"/>
      <c r="E138" s="33"/>
      <c r="F138" s="35" t="str">
        <f aca="false">IF(C138="","",IFERROR(INDEX(Kategorier!$B$6:$B$40,MATCH(C138,Kategorier!$C$6:$C$40,0)),"?"))</f>
        <v/>
      </c>
    </row>
    <row r="139" customFormat="false" ht="15" hidden="false" customHeight="false" outlineLevel="0" collapsed="false">
      <c r="B139" s="34"/>
      <c r="C139" s="32"/>
      <c r="D139" s="32"/>
      <c r="E139" s="33"/>
      <c r="F139" s="35" t="str">
        <f aca="false">IF(C139="","",IFERROR(INDEX(Kategorier!$B$6:$B$40,MATCH(C139,Kategorier!$C$6:$C$40,0)),"?"))</f>
        <v/>
      </c>
    </row>
    <row r="140" customFormat="false" ht="15" hidden="false" customHeight="false" outlineLevel="0" collapsed="false">
      <c r="B140" s="34"/>
      <c r="C140" s="32"/>
      <c r="D140" s="32"/>
      <c r="E140" s="33"/>
      <c r="F140" s="35" t="str">
        <f aca="false">IF(C140="","",IFERROR(INDEX(Kategorier!$B$6:$B$40,MATCH(C140,Kategorier!$C$6:$C$40,0)),"?"))</f>
        <v/>
      </c>
    </row>
    <row r="141" customFormat="false" ht="15" hidden="false" customHeight="false" outlineLevel="0" collapsed="false">
      <c r="B141" s="34"/>
      <c r="C141" s="32"/>
      <c r="D141" s="32"/>
      <c r="E141" s="33"/>
      <c r="F141" s="35" t="str">
        <f aca="false">IF(C141="","",IFERROR(INDEX(Kategorier!$B$6:$B$40,MATCH(C141,Kategorier!$C$6:$C$40,0)),"?"))</f>
        <v/>
      </c>
    </row>
    <row r="142" customFormat="false" ht="15" hidden="false" customHeight="false" outlineLevel="0" collapsed="false">
      <c r="B142" s="34"/>
      <c r="C142" s="32"/>
      <c r="D142" s="32"/>
      <c r="E142" s="33"/>
      <c r="F142" s="35" t="str">
        <f aca="false">IF(C142="","",IFERROR(INDEX(Kategorier!$B$6:$B$40,MATCH(C142,Kategorier!$C$6:$C$40,0)),"?"))</f>
        <v/>
      </c>
    </row>
    <row r="143" customFormat="false" ht="15" hidden="false" customHeight="false" outlineLevel="0" collapsed="false">
      <c r="B143" s="34"/>
      <c r="C143" s="32"/>
      <c r="D143" s="32"/>
      <c r="E143" s="33"/>
      <c r="F143" s="35" t="str">
        <f aca="false">IF(C143="","",IFERROR(INDEX(Kategorier!$B$6:$B$40,MATCH(C143,Kategorier!$C$6:$C$40,0)),"?"))</f>
        <v/>
      </c>
    </row>
    <row r="144" customFormat="false" ht="15" hidden="false" customHeight="false" outlineLevel="0" collapsed="false">
      <c r="B144" s="34"/>
      <c r="C144" s="32"/>
      <c r="D144" s="32"/>
      <c r="E144" s="33"/>
      <c r="F144" s="35" t="str">
        <f aca="false">IF(C144="","",IFERROR(INDEX(Kategorier!$B$6:$B$40,MATCH(C144,Kategorier!$C$6:$C$40,0)),"?"))</f>
        <v/>
      </c>
    </row>
    <row r="145" customFormat="false" ht="15" hidden="false" customHeight="false" outlineLevel="0" collapsed="false">
      <c r="B145" s="34"/>
      <c r="C145" s="32"/>
      <c r="D145" s="32"/>
      <c r="E145" s="33"/>
      <c r="F145" s="35" t="str">
        <f aca="false">IF(C145="","",IFERROR(INDEX(Kategorier!$B$6:$B$40,MATCH(C145,Kategorier!$C$6:$C$40,0)),"?"))</f>
        <v/>
      </c>
    </row>
    <row r="146" customFormat="false" ht="15" hidden="false" customHeight="false" outlineLevel="0" collapsed="false">
      <c r="B146" s="34"/>
      <c r="C146" s="32"/>
      <c r="D146" s="32"/>
      <c r="E146" s="33"/>
      <c r="F146" s="35" t="str">
        <f aca="false">IF(C146="","",IFERROR(INDEX(Kategorier!$B$6:$B$40,MATCH(C146,Kategorier!$C$6:$C$40,0)),"?"))</f>
        <v/>
      </c>
    </row>
    <row r="147" customFormat="false" ht="15" hidden="false" customHeight="false" outlineLevel="0" collapsed="false">
      <c r="B147" s="34"/>
      <c r="C147" s="32"/>
      <c r="D147" s="32"/>
      <c r="E147" s="33"/>
      <c r="F147" s="35" t="str">
        <f aca="false">IF(C147="","",IFERROR(INDEX(Kategorier!$B$6:$B$40,MATCH(C147,Kategorier!$C$6:$C$40,0)),"?"))</f>
        <v/>
      </c>
    </row>
    <row r="148" customFormat="false" ht="15" hidden="false" customHeight="false" outlineLevel="0" collapsed="false">
      <c r="B148" s="34"/>
      <c r="C148" s="32"/>
      <c r="D148" s="32"/>
      <c r="E148" s="33"/>
      <c r="F148" s="35" t="str">
        <f aca="false">IF(C148="","",IFERROR(INDEX(Kategorier!$B$6:$B$40,MATCH(C148,Kategorier!$C$6:$C$40,0)),"?"))</f>
        <v/>
      </c>
    </row>
    <row r="149" customFormat="false" ht="15" hidden="false" customHeight="false" outlineLevel="0" collapsed="false">
      <c r="B149" s="34"/>
      <c r="C149" s="32"/>
      <c r="D149" s="32"/>
      <c r="E149" s="33"/>
      <c r="F149" s="35" t="str">
        <f aca="false">IF(C149="","",IFERROR(INDEX(Kategorier!$B$6:$B$40,MATCH(C149,Kategorier!$C$6:$C$40,0)),"?"))</f>
        <v/>
      </c>
    </row>
    <row r="150" customFormat="false" ht="15" hidden="false" customHeight="false" outlineLevel="0" collapsed="false">
      <c r="B150" s="34"/>
      <c r="C150" s="32"/>
      <c r="D150" s="32"/>
      <c r="E150" s="33"/>
      <c r="F150" s="35" t="str">
        <f aca="false">IF(C150="","",IFERROR(INDEX(Kategorier!$B$6:$B$40,MATCH(C150,Kategorier!$C$6:$C$40,0)),"?"))</f>
        <v/>
      </c>
    </row>
    <row r="151" customFormat="false" ht="15" hidden="false" customHeight="false" outlineLevel="0" collapsed="false">
      <c r="B151" s="34"/>
      <c r="C151" s="32"/>
      <c r="D151" s="32"/>
      <c r="E151" s="33"/>
      <c r="F151" s="35" t="str">
        <f aca="false">IF(C151="","",IFERROR(INDEX(Kategorier!$B$6:$B$40,MATCH(C151,Kategorier!$C$6:$C$40,0)),"?"))</f>
        <v/>
      </c>
    </row>
    <row r="152" customFormat="false" ht="15" hidden="false" customHeight="false" outlineLevel="0" collapsed="false">
      <c r="B152" s="34"/>
      <c r="C152" s="32"/>
      <c r="D152" s="32"/>
      <c r="E152" s="33"/>
      <c r="F152" s="35" t="str">
        <f aca="false">IF(C152="","",IFERROR(INDEX(Kategorier!$B$6:$B$40,MATCH(C152,Kategorier!$C$6:$C$40,0)),"?"))</f>
        <v/>
      </c>
    </row>
    <row r="153" customFormat="false" ht="15" hidden="false" customHeight="false" outlineLevel="0" collapsed="false">
      <c r="B153" s="34"/>
      <c r="C153" s="32"/>
      <c r="D153" s="32"/>
      <c r="E153" s="33"/>
      <c r="F153" s="35" t="str">
        <f aca="false">IF(C153="","",IFERROR(INDEX(Kategorier!$B$6:$B$40,MATCH(C153,Kategorier!$C$6:$C$40,0)),"?"))</f>
        <v/>
      </c>
    </row>
    <row r="154" customFormat="false" ht="15" hidden="false" customHeight="false" outlineLevel="0" collapsed="false">
      <c r="B154" s="34"/>
      <c r="C154" s="32"/>
      <c r="D154" s="32"/>
      <c r="E154" s="33"/>
      <c r="F154" s="35" t="str">
        <f aca="false">IF(C154="","",IFERROR(INDEX(Kategorier!$B$6:$B$40,MATCH(C154,Kategorier!$C$6:$C$40,0)),"?"))</f>
        <v/>
      </c>
    </row>
    <row r="155" customFormat="false" ht="15" hidden="false" customHeight="false" outlineLevel="0" collapsed="false">
      <c r="B155" s="34"/>
      <c r="C155" s="32"/>
      <c r="D155" s="32"/>
      <c r="E155" s="33"/>
      <c r="F155" s="35" t="str">
        <f aca="false">IF(C155="","",IFERROR(INDEX(Kategorier!$B$6:$B$40,MATCH(C155,Kategorier!$C$6:$C$40,0)),"?"))</f>
        <v/>
      </c>
    </row>
    <row r="156" customFormat="false" ht="15" hidden="false" customHeight="false" outlineLevel="0" collapsed="false">
      <c r="B156" s="34"/>
      <c r="C156" s="32"/>
      <c r="D156" s="32"/>
      <c r="E156" s="33"/>
      <c r="F156" s="35" t="str">
        <f aca="false">IF(C156="","",IFERROR(INDEX(Kategorier!$B$6:$B$40,MATCH(C156,Kategorier!$C$6:$C$40,0)),"?"))</f>
        <v/>
      </c>
    </row>
    <row r="157" customFormat="false" ht="15" hidden="false" customHeight="false" outlineLevel="0" collapsed="false">
      <c r="B157" s="34"/>
      <c r="C157" s="32"/>
      <c r="D157" s="32"/>
      <c r="E157" s="33"/>
      <c r="F157" s="35" t="str">
        <f aca="false">IF(C157="","",IFERROR(INDEX(Kategorier!$B$6:$B$40,MATCH(C157,Kategorier!$C$6:$C$40,0)),"?"))</f>
        <v/>
      </c>
    </row>
    <row r="158" customFormat="false" ht="15" hidden="false" customHeight="false" outlineLevel="0" collapsed="false">
      <c r="B158" s="34"/>
      <c r="C158" s="32"/>
      <c r="D158" s="32"/>
      <c r="E158" s="33"/>
      <c r="F158" s="35" t="str">
        <f aca="false">IF(C158="","",IFERROR(INDEX(Kategorier!$B$6:$B$40,MATCH(C158,Kategorier!$C$6:$C$40,0)),"?"))</f>
        <v/>
      </c>
    </row>
    <row r="159" customFormat="false" ht="15" hidden="false" customHeight="false" outlineLevel="0" collapsed="false">
      <c r="B159" s="34"/>
      <c r="C159" s="32"/>
      <c r="D159" s="32"/>
      <c r="E159" s="33"/>
      <c r="F159" s="35" t="str">
        <f aca="false">IF(C159="","",IFERROR(INDEX(Kategorier!$B$6:$B$40,MATCH(C159,Kategorier!$C$6:$C$40,0)),"?"))</f>
        <v/>
      </c>
    </row>
    <row r="160" customFormat="false" ht="15" hidden="false" customHeight="false" outlineLevel="0" collapsed="false">
      <c r="B160" s="34"/>
      <c r="C160" s="32"/>
      <c r="D160" s="32"/>
      <c r="E160" s="33"/>
      <c r="F160" s="35" t="str">
        <f aca="false">IF(C160="","",IFERROR(INDEX(Kategorier!$B$6:$B$40,MATCH(C160,Kategorier!$C$6:$C$40,0)),"?"))</f>
        <v/>
      </c>
    </row>
    <row r="161" customFormat="false" ht="15" hidden="false" customHeight="false" outlineLevel="0" collapsed="false">
      <c r="B161" s="34"/>
      <c r="C161" s="32"/>
      <c r="D161" s="32"/>
      <c r="E161" s="33"/>
      <c r="F161" s="35" t="str">
        <f aca="false">IF(C161="","",IFERROR(INDEX(Kategorier!$B$6:$B$40,MATCH(C161,Kategorier!$C$6:$C$40,0)),"?"))</f>
        <v/>
      </c>
    </row>
    <row r="162" customFormat="false" ht="15" hidden="false" customHeight="false" outlineLevel="0" collapsed="false">
      <c r="B162" s="34"/>
      <c r="C162" s="32"/>
      <c r="D162" s="32"/>
      <c r="E162" s="33"/>
      <c r="F162" s="35" t="str">
        <f aca="false">IF(C162="","",IFERROR(INDEX(Kategorier!$B$6:$B$40,MATCH(C162,Kategorier!$C$6:$C$40,0)),"?"))</f>
        <v/>
      </c>
    </row>
    <row r="163" customFormat="false" ht="15" hidden="false" customHeight="false" outlineLevel="0" collapsed="false">
      <c r="B163" s="34"/>
      <c r="C163" s="32"/>
      <c r="D163" s="32"/>
      <c r="E163" s="33"/>
      <c r="F163" s="35" t="str">
        <f aca="false">IF(C163="","",IFERROR(INDEX(Kategorier!$B$6:$B$40,MATCH(C163,Kategorier!$C$6:$C$40,0)),"?"))</f>
        <v/>
      </c>
    </row>
    <row r="164" customFormat="false" ht="15" hidden="false" customHeight="false" outlineLevel="0" collapsed="false">
      <c r="B164" s="34"/>
      <c r="C164" s="32"/>
      <c r="D164" s="32"/>
      <c r="E164" s="33"/>
      <c r="F164" s="35" t="str">
        <f aca="false">IF(C164="","",IFERROR(INDEX(Kategorier!$B$6:$B$40,MATCH(C164,Kategorier!$C$6:$C$40,0)),"?"))</f>
        <v/>
      </c>
    </row>
    <row r="165" customFormat="false" ht="15" hidden="false" customHeight="false" outlineLevel="0" collapsed="false">
      <c r="B165" s="34"/>
      <c r="C165" s="32"/>
      <c r="D165" s="32"/>
      <c r="E165" s="33"/>
      <c r="F165" s="35" t="str">
        <f aca="false">IF(C165="","",IFERROR(INDEX(Kategorier!$B$6:$B$40,MATCH(C165,Kategorier!$C$6:$C$40,0)),"?"))</f>
        <v/>
      </c>
    </row>
    <row r="166" customFormat="false" ht="15" hidden="false" customHeight="false" outlineLevel="0" collapsed="false">
      <c r="B166" s="34"/>
      <c r="C166" s="32"/>
      <c r="D166" s="32"/>
      <c r="E166" s="33"/>
      <c r="F166" s="35" t="str">
        <f aca="false">IF(C166="","",IFERROR(INDEX(Kategorier!$B$6:$B$40,MATCH(C166,Kategorier!$C$6:$C$40,0)),"?"))</f>
        <v/>
      </c>
    </row>
    <row r="167" customFormat="false" ht="15" hidden="false" customHeight="false" outlineLevel="0" collapsed="false">
      <c r="B167" s="34"/>
      <c r="C167" s="32"/>
      <c r="D167" s="32"/>
      <c r="E167" s="33"/>
      <c r="F167" s="35" t="str">
        <f aca="false">IF(C167="","",IFERROR(INDEX(Kategorier!$B$6:$B$40,MATCH(C167,Kategorier!$C$6:$C$40,0)),"?"))</f>
        <v/>
      </c>
    </row>
    <row r="168" customFormat="false" ht="15" hidden="false" customHeight="false" outlineLevel="0" collapsed="false">
      <c r="B168" s="34"/>
      <c r="C168" s="32"/>
      <c r="D168" s="32"/>
      <c r="E168" s="33"/>
      <c r="F168" s="35" t="str">
        <f aca="false">IF(C168="","",IFERROR(INDEX(Kategorier!$B$6:$B$40,MATCH(C168,Kategorier!$C$6:$C$40,0)),"?"))</f>
        <v/>
      </c>
    </row>
    <row r="169" customFormat="false" ht="15" hidden="false" customHeight="false" outlineLevel="0" collapsed="false">
      <c r="B169" s="34"/>
      <c r="C169" s="32"/>
      <c r="D169" s="32"/>
      <c r="E169" s="33"/>
      <c r="F169" s="35" t="str">
        <f aca="false">IF(C169="","",IFERROR(INDEX(Kategorier!$B$6:$B$40,MATCH(C169,Kategorier!$C$6:$C$40,0)),"?"))</f>
        <v/>
      </c>
    </row>
    <row r="170" customFormat="false" ht="15" hidden="false" customHeight="false" outlineLevel="0" collapsed="false">
      <c r="B170" s="34"/>
      <c r="C170" s="32"/>
      <c r="D170" s="32"/>
      <c r="E170" s="33"/>
      <c r="F170" s="35" t="str">
        <f aca="false">IF(C170="","",IFERROR(INDEX(Kategorier!$B$6:$B$40,MATCH(C170,Kategorier!$C$6:$C$40,0)),"?"))</f>
        <v/>
      </c>
    </row>
    <row r="171" customFormat="false" ht="15" hidden="false" customHeight="false" outlineLevel="0" collapsed="false">
      <c r="B171" s="34"/>
      <c r="C171" s="32"/>
      <c r="D171" s="32"/>
      <c r="E171" s="33"/>
      <c r="F171" s="35" t="str">
        <f aca="false">IF(C171="","",IFERROR(INDEX(Kategorier!$B$6:$B$40,MATCH(C171,Kategorier!$C$6:$C$40,0)),"?"))</f>
        <v/>
      </c>
    </row>
    <row r="172" customFormat="false" ht="15" hidden="false" customHeight="false" outlineLevel="0" collapsed="false">
      <c r="B172" s="34"/>
      <c r="C172" s="32"/>
      <c r="D172" s="32"/>
      <c r="E172" s="33"/>
      <c r="F172" s="35" t="str">
        <f aca="false">IF(C172="","",IFERROR(INDEX(Kategorier!$B$6:$B$40,MATCH(C172,Kategorier!$C$6:$C$40,0)),"?"))</f>
        <v/>
      </c>
    </row>
    <row r="173" customFormat="false" ht="15" hidden="false" customHeight="false" outlineLevel="0" collapsed="false">
      <c r="B173" s="34"/>
      <c r="C173" s="32"/>
      <c r="D173" s="32"/>
      <c r="E173" s="33"/>
      <c r="F173" s="35" t="str">
        <f aca="false">IF(C173="","",IFERROR(INDEX(Kategorier!$B$6:$B$40,MATCH(C173,Kategorier!$C$6:$C$40,0)),"?"))</f>
        <v/>
      </c>
    </row>
    <row r="174" customFormat="false" ht="15" hidden="false" customHeight="false" outlineLevel="0" collapsed="false">
      <c r="B174" s="34"/>
      <c r="C174" s="32"/>
      <c r="D174" s="32"/>
      <c r="E174" s="33"/>
      <c r="F174" s="35" t="str">
        <f aca="false">IF(C174="","",IFERROR(INDEX(Kategorier!$B$6:$B$40,MATCH(C174,Kategorier!$C$6:$C$40,0)),"?"))</f>
        <v/>
      </c>
    </row>
    <row r="175" customFormat="false" ht="15" hidden="false" customHeight="false" outlineLevel="0" collapsed="false">
      <c r="B175" s="34"/>
      <c r="C175" s="32"/>
      <c r="D175" s="32"/>
      <c r="E175" s="33"/>
      <c r="F175" s="35" t="str">
        <f aca="false">IF(C175="","",IFERROR(INDEX(Kategorier!$B$6:$B$40,MATCH(C175,Kategorier!$C$6:$C$40,0)),"?"))</f>
        <v/>
      </c>
    </row>
    <row r="176" customFormat="false" ht="15" hidden="false" customHeight="false" outlineLevel="0" collapsed="false">
      <c r="B176" s="34"/>
      <c r="C176" s="32"/>
      <c r="D176" s="32"/>
      <c r="E176" s="33"/>
      <c r="F176" s="35" t="str">
        <f aca="false">IF(C176="","",IFERROR(INDEX(Kategorier!$B$6:$B$40,MATCH(C176,Kategorier!$C$6:$C$40,0)),"?"))</f>
        <v/>
      </c>
    </row>
    <row r="177" customFormat="false" ht="15" hidden="false" customHeight="false" outlineLevel="0" collapsed="false">
      <c r="B177" s="34"/>
      <c r="C177" s="32"/>
      <c r="D177" s="32"/>
      <c r="E177" s="33"/>
      <c r="F177" s="35" t="str">
        <f aca="false">IF(C177="","",IFERROR(INDEX(Kategorier!$B$6:$B$40,MATCH(C177,Kategorier!$C$6:$C$40,0)),"?"))</f>
        <v/>
      </c>
    </row>
    <row r="178" customFormat="false" ht="15" hidden="false" customHeight="false" outlineLevel="0" collapsed="false">
      <c r="B178" s="34"/>
      <c r="C178" s="32"/>
      <c r="D178" s="32"/>
      <c r="E178" s="33"/>
      <c r="F178" s="35" t="str">
        <f aca="false">IF(C178="","",IFERROR(INDEX(Kategorier!$B$6:$B$40,MATCH(C178,Kategorier!$C$6:$C$40,0)),"?"))</f>
        <v/>
      </c>
    </row>
    <row r="179" customFormat="false" ht="15" hidden="false" customHeight="false" outlineLevel="0" collapsed="false">
      <c r="B179" s="34"/>
      <c r="C179" s="32"/>
      <c r="D179" s="32"/>
      <c r="E179" s="33"/>
      <c r="F179" s="35" t="str">
        <f aca="false">IF(C179="","",IFERROR(INDEX(Kategorier!$B$6:$B$40,MATCH(C179,Kategorier!$C$6:$C$40,0)),"?"))</f>
        <v/>
      </c>
    </row>
    <row r="180" customFormat="false" ht="15" hidden="false" customHeight="false" outlineLevel="0" collapsed="false">
      <c r="B180" s="34"/>
      <c r="C180" s="32"/>
      <c r="D180" s="32"/>
      <c r="E180" s="33"/>
      <c r="F180" s="35" t="str">
        <f aca="false">IF(C180="","",IFERROR(INDEX(Kategorier!$B$6:$B$40,MATCH(C180,Kategorier!$C$6:$C$40,0)),"?"))</f>
        <v/>
      </c>
    </row>
    <row r="181" customFormat="false" ht="15" hidden="false" customHeight="false" outlineLevel="0" collapsed="false">
      <c r="B181" s="34"/>
      <c r="C181" s="32"/>
      <c r="D181" s="32"/>
      <c r="E181" s="33"/>
      <c r="F181" s="35" t="str">
        <f aca="false">IF(C181="","",IFERROR(INDEX(Kategorier!$B$6:$B$40,MATCH(C181,Kategorier!$C$6:$C$40,0)),"?"))</f>
        <v/>
      </c>
    </row>
    <row r="182" customFormat="false" ht="15" hidden="false" customHeight="false" outlineLevel="0" collapsed="false">
      <c r="B182" s="34"/>
      <c r="C182" s="32"/>
      <c r="D182" s="32"/>
      <c r="E182" s="33"/>
      <c r="F182" s="35" t="str">
        <f aca="false">IF(C182="","",IFERROR(INDEX(Kategorier!$B$6:$B$40,MATCH(C182,Kategorier!$C$6:$C$40,0)),"?"))</f>
        <v/>
      </c>
    </row>
    <row r="183" customFormat="false" ht="15" hidden="false" customHeight="false" outlineLevel="0" collapsed="false">
      <c r="B183" s="34"/>
      <c r="C183" s="32"/>
      <c r="D183" s="32"/>
      <c r="E183" s="33"/>
      <c r="F183" s="35" t="str">
        <f aca="false">IF(C183="","",IFERROR(INDEX(Kategorier!$B$6:$B$40,MATCH(C183,Kategorier!$C$6:$C$40,0)),"?"))</f>
        <v/>
      </c>
    </row>
    <row r="184" customFormat="false" ht="15" hidden="false" customHeight="false" outlineLevel="0" collapsed="false">
      <c r="B184" s="34"/>
      <c r="C184" s="32"/>
      <c r="D184" s="32"/>
      <c r="E184" s="33"/>
      <c r="F184" s="35" t="str">
        <f aca="false">IF(C184="","",IFERROR(INDEX(Kategorier!$B$6:$B$40,MATCH(C184,Kategorier!$C$6:$C$40,0)),"?"))</f>
        <v/>
      </c>
    </row>
    <row r="185" customFormat="false" ht="15" hidden="false" customHeight="false" outlineLevel="0" collapsed="false">
      <c r="B185" s="34"/>
      <c r="C185" s="32"/>
      <c r="D185" s="32"/>
      <c r="E185" s="33"/>
      <c r="F185" s="35" t="str">
        <f aca="false">IF(C185="","",IFERROR(INDEX(Kategorier!$B$6:$B$40,MATCH(C185,Kategorier!$C$6:$C$40,0)),"?"))</f>
        <v/>
      </c>
    </row>
    <row r="186" customFormat="false" ht="15" hidden="false" customHeight="false" outlineLevel="0" collapsed="false">
      <c r="B186" s="34"/>
      <c r="C186" s="32"/>
      <c r="D186" s="32"/>
      <c r="E186" s="33"/>
      <c r="F186" s="35" t="str">
        <f aca="false">IF(C186="","",IFERROR(INDEX(Kategorier!$B$6:$B$40,MATCH(C186,Kategorier!$C$6:$C$40,0)),"?"))</f>
        <v/>
      </c>
    </row>
    <row r="187" customFormat="false" ht="15" hidden="false" customHeight="false" outlineLevel="0" collapsed="false">
      <c r="B187" s="34"/>
      <c r="C187" s="32"/>
      <c r="D187" s="32"/>
      <c r="E187" s="33"/>
      <c r="F187" s="35" t="str">
        <f aca="false">IF(C187="","",IFERROR(INDEX(Kategorier!$B$6:$B$40,MATCH(C187,Kategorier!$C$6:$C$40,0)),"?"))</f>
        <v/>
      </c>
    </row>
    <row r="188" customFormat="false" ht="15" hidden="false" customHeight="false" outlineLevel="0" collapsed="false">
      <c r="B188" s="34"/>
      <c r="C188" s="32"/>
      <c r="D188" s="32"/>
      <c r="E188" s="33"/>
      <c r="F188" s="35" t="str">
        <f aca="false">IF(C188="","",IFERROR(INDEX(Kategorier!$B$6:$B$40,MATCH(C188,Kategorier!$C$6:$C$40,0)),"?"))</f>
        <v/>
      </c>
    </row>
    <row r="189" customFormat="false" ht="15" hidden="false" customHeight="false" outlineLevel="0" collapsed="false">
      <c r="B189" s="34"/>
      <c r="C189" s="32"/>
      <c r="D189" s="32"/>
      <c r="E189" s="33"/>
      <c r="F189" s="35" t="str">
        <f aca="false">IF(C189="","",IFERROR(INDEX(Kategorier!$B$6:$B$40,MATCH(C189,Kategorier!$C$6:$C$40,0)),"?"))</f>
        <v/>
      </c>
    </row>
    <row r="190" customFormat="false" ht="15" hidden="false" customHeight="false" outlineLevel="0" collapsed="false">
      <c r="B190" s="34"/>
      <c r="C190" s="32"/>
      <c r="D190" s="32"/>
      <c r="E190" s="33"/>
      <c r="F190" s="35" t="str">
        <f aca="false">IF(C190="","",IFERROR(INDEX(Kategorier!$B$6:$B$40,MATCH(C190,Kategorier!$C$6:$C$40,0)),"?"))</f>
        <v/>
      </c>
    </row>
    <row r="191" customFormat="false" ht="15" hidden="false" customHeight="false" outlineLevel="0" collapsed="false">
      <c r="B191" s="34"/>
      <c r="C191" s="32"/>
      <c r="D191" s="32"/>
      <c r="E191" s="33"/>
      <c r="F191" s="35" t="str">
        <f aca="false">IF(C191="","",IFERROR(INDEX(Kategorier!$B$6:$B$40,MATCH(C191,Kategorier!$C$6:$C$40,0)),"?"))</f>
        <v/>
      </c>
    </row>
    <row r="192" customFormat="false" ht="15" hidden="false" customHeight="false" outlineLevel="0" collapsed="false">
      <c r="B192" s="34"/>
      <c r="C192" s="32"/>
      <c r="D192" s="32"/>
      <c r="E192" s="33"/>
      <c r="F192" s="35" t="str">
        <f aca="false">IF(C192="","",IFERROR(INDEX(Kategorier!$B$6:$B$40,MATCH(C192,Kategorier!$C$6:$C$40,0)),"?"))</f>
        <v/>
      </c>
    </row>
    <row r="193" customFormat="false" ht="15" hidden="false" customHeight="false" outlineLevel="0" collapsed="false">
      <c r="B193" s="34"/>
      <c r="C193" s="32"/>
      <c r="D193" s="32"/>
      <c r="E193" s="33"/>
      <c r="F193" s="35" t="str">
        <f aca="false">IF(C193="","",IFERROR(INDEX(Kategorier!$B$6:$B$40,MATCH(C193,Kategorier!$C$6:$C$40,0)),"?"))</f>
        <v/>
      </c>
    </row>
    <row r="194" customFormat="false" ht="15" hidden="false" customHeight="false" outlineLevel="0" collapsed="false">
      <c r="B194" s="34"/>
      <c r="C194" s="32"/>
      <c r="D194" s="32"/>
      <c r="E194" s="33"/>
      <c r="F194" s="35" t="str">
        <f aca="false">IF(C194="","",IFERROR(INDEX(Kategorier!$B$6:$B$40,MATCH(C194,Kategorier!$C$6:$C$40,0)),"?"))</f>
        <v/>
      </c>
    </row>
    <row r="195" customFormat="false" ht="15" hidden="false" customHeight="false" outlineLevel="0" collapsed="false">
      <c r="B195" s="34"/>
      <c r="C195" s="32"/>
      <c r="D195" s="32"/>
      <c r="E195" s="33"/>
      <c r="F195" s="35" t="str">
        <f aca="false">IF(C195="","",IFERROR(INDEX(Kategorier!$B$6:$B$40,MATCH(C195,Kategorier!$C$6:$C$40,0)),"?"))</f>
        <v/>
      </c>
    </row>
    <row r="196" customFormat="false" ht="15" hidden="false" customHeight="false" outlineLevel="0" collapsed="false">
      <c r="B196" s="34"/>
      <c r="C196" s="32"/>
      <c r="D196" s="32"/>
      <c r="E196" s="33"/>
      <c r="F196" s="35" t="str">
        <f aca="false">IF(C196="","",IFERROR(INDEX(Kategorier!$B$6:$B$40,MATCH(C196,Kategorier!$C$6:$C$40,0)),"?"))</f>
        <v/>
      </c>
    </row>
    <row r="197" customFormat="false" ht="15" hidden="false" customHeight="false" outlineLevel="0" collapsed="false">
      <c r="B197" s="34"/>
      <c r="C197" s="32"/>
      <c r="D197" s="32"/>
      <c r="E197" s="33"/>
      <c r="F197" s="35" t="str">
        <f aca="false">IF(C197="","",IFERROR(INDEX(Kategorier!$B$6:$B$40,MATCH(C197,Kategorier!$C$6:$C$40,0)),"?"))</f>
        <v/>
      </c>
    </row>
    <row r="198" customFormat="false" ht="15" hidden="false" customHeight="false" outlineLevel="0" collapsed="false">
      <c r="B198" s="34"/>
      <c r="C198" s="32"/>
      <c r="D198" s="32"/>
      <c r="E198" s="33"/>
      <c r="F198" s="35" t="str">
        <f aca="false">IF(C198="","",IFERROR(INDEX(Kategorier!$B$6:$B$40,MATCH(C198,Kategorier!$C$6:$C$40,0)),"?"))</f>
        <v/>
      </c>
    </row>
    <row r="199" customFormat="false" ht="15" hidden="false" customHeight="false" outlineLevel="0" collapsed="false">
      <c r="B199" s="34"/>
      <c r="C199" s="32"/>
      <c r="D199" s="32"/>
      <c r="E199" s="33"/>
      <c r="F199" s="35" t="str">
        <f aca="false">IF(C199="","",IFERROR(INDEX(Kategorier!$B$6:$B$40,MATCH(C199,Kategorier!$C$6:$C$40,0)),"?"))</f>
        <v/>
      </c>
    </row>
    <row r="200" customFormat="false" ht="15" hidden="false" customHeight="false" outlineLevel="0" collapsed="false">
      <c r="B200" s="34"/>
      <c r="C200" s="32"/>
      <c r="D200" s="32"/>
      <c r="E200" s="33"/>
      <c r="F200" s="35" t="str">
        <f aca="false">IF(C200="","",IFERROR(INDEX(Kategorier!$B$6:$B$40,MATCH(C200,Kategorier!$C$6:$C$40,0)),"?"))</f>
        <v/>
      </c>
    </row>
    <row r="201" customFormat="false" ht="15" hidden="false" customHeight="false" outlineLevel="0" collapsed="false">
      <c r="B201" s="34"/>
      <c r="C201" s="32"/>
      <c r="D201" s="32"/>
      <c r="E201" s="33"/>
      <c r="F201" s="35" t="str">
        <f aca="false">IF(C201="","",IFERROR(INDEX(Kategorier!$B$6:$B$40,MATCH(C201,Kategorier!$C$6:$C$40,0)),"?"))</f>
        <v/>
      </c>
    </row>
    <row r="202" customFormat="false" ht="15" hidden="false" customHeight="false" outlineLevel="0" collapsed="false">
      <c r="B202" s="34"/>
      <c r="C202" s="32"/>
      <c r="D202" s="32"/>
      <c r="E202" s="33"/>
      <c r="F202" s="35" t="str">
        <f aca="false">IF(C202="","",IFERROR(INDEX(Kategorier!$B$6:$B$40,MATCH(C202,Kategorier!$C$6:$C$40,0)),"?"))</f>
        <v/>
      </c>
    </row>
    <row r="203" customFormat="false" ht="15" hidden="false" customHeight="false" outlineLevel="0" collapsed="false">
      <c r="B203" s="34"/>
      <c r="C203" s="32"/>
      <c r="D203" s="32"/>
      <c r="E203" s="33"/>
      <c r="F203" s="35" t="str">
        <f aca="false">IF(C203="","",IFERROR(INDEX(Kategorier!$B$6:$B$40,MATCH(C203,Kategorier!$C$6:$C$40,0)),"?"))</f>
        <v/>
      </c>
    </row>
    <row r="204" customFormat="false" ht="15" hidden="false" customHeight="false" outlineLevel="0" collapsed="false">
      <c r="B204" s="34"/>
      <c r="C204" s="32"/>
      <c r="D204" s="32"/>
      <c r="E204" s="33"/>
      <c r="F204" s="35" t="str">
        <f aca="false">IF(C204="","",IFERROR(INDEX(Kategorier!$B$6:$B$40,MATCH(C204,Kategorier!$C$6:$C$40,0)),"?"))</f>
        <v/>
      </c>
    </row>
    <row r="205" customFormat="false" ht="15" hidden="false" customHeight="false" outlineLevel="0" collapsed="false">
      <c r="B205" s="34"/>
      <c r="C205" s="32"/>
      <c r="D205" s="32"/>
      <c r="E205" s="33"/>
      <c r="F205" s="35" t="str">
        <f aca="false">IF(C205="","",IFERROR(INDEX(Kategorier!$B$6:$B$40,MATCH(C205,Kategorier!$C$6:$C$40,0)),"?"))</f>
        <v/>
      </c>
    </row>
    <row r="206" customFormat="false" ht="15" hidden="false" customHeight="false" outlineLevel="0" collapsed="false">
      <c r="B206" s="34"/>
      <c r="C206" s="32"/>
      <c r="D206" s="32"/>
      <c r="E206" s="33"/>
      <c r="F206" s="35" t="str">
        <f aca="false">IF(C206="","",IFERROR(INDEX(Kategorier!$B$6:$B$40,MATCH(C206,Kategorier!$C$6:$C$40,0)),"?"))</f>
        <v/>
      </c>
    </row>
    <row r="207" customFormat="false" ht="15" hidden="false" customHeight="false" outlineLevel="0" collapsed="false">
      <c r="B207" s="34"/>
      <c r="C207" s="32"/>
      <c r="D207" s="32"/>
      <c r="E207" s="33"/>
      <c r="F207" s="35" t="str">
        <f aca="false">IF(C207="","",IFERROR(INDEX(Kategorier!$B$6:$B$40,MATCH(C207,Kategorier!$C$6:$C$40,0)),"?"))</f>
        <v/>
      </c>
    </row>
    <row r="208" customFormat="false" ht="15" hidden="false" customHeight="false" outlineLevel="0" collapsed="false">
      <c r="B208" s="34"/>
      <c r="C208" s="32"/>
      <c r="D208" s="32"/>
      <c r="E208" s="33"/>
      <c r="F208" s="35" t="str">
        <f aca="false">IF(C208="","",IFERROR(INDEX(Kategorier!$B$6:$B$40,MATCH(C208,Kategorier!$C$6:$C$40,0)),"?"))</f>
        <v/>
      </c>
    </row>
    <row r="209" customFormat="false" ht="15" hidden="false" customHeight="false" outlineLevel="0" collapsed="false">
      <c r="B209" s="34"/>
      <c r="C209" s="32"/>
      <c r="D209" s="32"/>
      <c r="E209" s="33"/>
      <c r="F209" s="35" t="str">
        <f aca="false">IF(C209="","",IFERROR(INDEX(Kategorier!$B$6:$B$40,MATCH(C209,Kategorier!$C$6:$C$40,0)),"?"))</f>
        <v/>
      </c>
    </row>
    <row r="210" customFormat="false" ht="15" hidden="false" customHeight="false" outlineLevel="0" collapsed="false">
      <c r="B210" s="34"/>
      <c r="C210" s="32"/>
      <c r="D210" s="32"/>
      <c r="E210" s="33"/>
      <c r="F210" s="35" t="str">
        <f aca="false">IF(C210="","",IFERROR(INDEX(Kategorier!$B$6:$B$40,MATCH(C210,Kategorier!$C$6:$C$40,0)),"?"))</f>
        <v/>
      </c>
    </row>
    <row r="211" customFormat="false" ht="15" hidden="false" customHeight="false" outlineLevel="0" collapsed="false">
      <c r="B211" s="34"/>
      <c r="C211" s="32"/>
      <c r="D211" s="32"/>
      <c r="E211" s="33"/>
      <c r="F211" s="35" t="str">
        <f aca="false">IF(C211="","",IFERROR(INDEX(Kategorier!$B$6:$B$40,MATCH(C211,Kategorier!$C$6:$C$40,0)),"?"))</f>
        <v/>
      </c>
    </row>
    <row r="212" customFormat="false" ht="15" hidden="false" customHeight="false" outlineLevel="0" collapsed="false">
      <c r="B212" s="34"/>
      <c r="C212" s="32"/>
      <c r="D212" s="32"/>
      <c r="E212" s="33"/>
      <c r="F212" s="35" t="str">
        <f aca="false">IF(C212="","",IFERROR(INDEX(Kategorier!$B$6:$B$40,MATCH(C212,Kategorier!$C$6:$C$40,0)),"?"))</f>
        <v/>
      </c>
    </row>
    <row r="213" customFormat="false" ht="15" hidden="false" customHeight="false" outlineLevel="0" collapsed="false">
      <c r="B213" s="34"/>
      <c r="C213" s="32"/>
      <c r="D213" s="32"/>
      <c r="E213" s="33"/>
      <c r="F213" s="35" t="str">
        <f aca="false">IF(C213="","",IFERROR(INDEX(Kategorier!$B$6:$B$40,MATCH(C213,Kategorier!$C$6:$C$40,0)),"?"))</f>
        <v/>
      </c>
    </row>
    <row r="214" customFormat="false" ht="15" hidden="false" customHeight="false" outlineLevel="0" collapsed="false">
      <c r="B214" s="34"/>
      <c r="C214" s="32"/>
      <c r="D214" s="32"/>
      <c r="E214" s="33"/>
      <c r="F214" s="35" t="str">
        <f aca="false">IF(C214="","",IFERROR(INDEX(Kategorier!$B$6:$B$40,MATCH(C214,Kategorier!$C$6:$C$40,0)),"?"))</f>
        <v/>
      </c>
    </row>
    <row r="215" customFormat="false" ht="15" hidden="false" customHeight="false" outlineLevel="0" collapsed="false">
      <c r="B215" s="34"/>
      <c r="C215" s="32"/>
      <c r="D215" s="32"/>
      <c r="E215" s="33"/>
      <c r="F215" s="35" t="str">
        <f aca="false">IF(C215="","",IFERROR(INDEX(Kategorier!$B$6:$B$40,MATCH(C215,Kategorier!$C$6:$C$40,0)),"?"))</f>
        <v/>
      </c>
    </row>
    <row r="216" customFormat="false" ht="15" hidden="false" customHeight="false" outlineLevel="0" collapsed="false">
      <c r="B216" s="34"/>
      <c r="C216" s="32"/>
      <c r="D216" s="32"/>
      <c r="E216" s="33"/>
      <c r="F216" s="35" t="str">
        <f aca="false">IF(C216="","",IFERROR(INDEX(Kategorier!$B$6:$B$40,MATCH(C216,Kategorier!$C$6:$C$40,0)),"?"))</f>
        <v/>
      </c>
    </row>
    <row r="217" customFormat="false" ht="15" hidden="false" customHeight="false" outlineLevel="0" collapsed="false">
      <c r="B217" s="34"/>
      <c r="C217" s="32"/>
      <c r="D217" s="32"/>
      <c r="E217" s="33"/>
      <c r="F217" s="35" t="str">
        <f aca="false">IF(C217="","",IFERROR(INDEX(Kategorier!$B$6:$B$40,MATCH(C217,Kategorier!$C$6:$C$40,0)),"?"))</f>
        <v/>
      </c>
    </row>
    <row r="218" customFormat="false" ht="15" hidden="false" customHeight="false" outlineLevel="0" collapsed="false">
      <c r="B218" s="34"/>
      <c r="C218" s="32"/>
      <c r="D218" s="32"/>
      <c r="E218" s="33"/>
      <c r="F218" s="35" t="str">
        <f aca="false">IF(C218="","",IFERROR(INDEX(Kategorier!$B$6:$B$40,MATCH(C218,Kategorier!$C$6:$C$40,0)),"?"))</f>
        <v/>
      </c>
    </row>
    <row r="219" customFormat="false" ht="15" hidden="false" customHeight="false" outlineLevel="0" collapsed="false">
      <c r="B219" s="34"/>
      <c r="C219" s="32"/>
      <c r="D219" s="32"/>
      <c r="E219" s="33"/>
      <c r="F219" s="35" t="str">
        <f aca="false">IF(C219="","",IFERROR(INDEX(Kategorier!$B$6:$B$40,MATCH(C219,Kategorier!$C$6:$C$40,0)),"?"))</f>
        <v/>
      </c>
    </row>
    <row r="220" customFormat="false" ht="15" hidden="false" customHeight="false" outlineLevel="0" collapsed="false">
      <c r="B220" s="34"/>
      <c r="C220" s="32"/>
      <c r="D220" s="32"/>
      <c r="E220" s="33"/>
      <c r="F220" s="35" t="str">
        <f aca="false">IF(C220="","",IFERROR(INDEX(Kategorier!$B$6:$B$40,MATCH(C220,Kategorier!$C$6:$C$40,0)),"?"))</f>
        <v/>
      </c>
    </row>
    <row r="221" customFormat="false" ht="15" hidden="false" customHeight="false" outlineLevel="0" collapsed="false">
      <c r="B221" s="34"/>
      <c r="C221" s="32"/>
      <c r="D221" s="32"/>
      <c r="E221" s="33"/>
      <c r="F221" s="35" t="str">
        <f aca="false">IF(C221="","",IFERROR(INDEX(Kategorier!$B$6:$B$40,MATCH(C221,Kategorier!$C$6:$C$40,0)),"?"))</f>
        <v/>
      </c>
    </row>
    <row r="222" customFormat="false" ht="15" hidden="false" customHeight="false" outlineLevel="0" collapsed="false">
      <c r="B222" s="34"/>
      <c r="C222" s="32"/>
      <c r="D222" s="32"/>
      <c r="E222" s="33"/>
      <c r="F222" s="35" t="str">
        <f aca="false">IF(C222="","",IFERROR(INDEX(Kategorier!$B$6:$B$40,MATCH(C222,Kategorier!$C$6:$C$40,0)),"?"))</f>
        <v/>
      </c>
    </row>
    <row r="223" customFormat="false" ht="15" hidden="false" customHeight="false" outlineLevel="0" collapsed="false">
      <c r="B223" s="34"/>
      <c r="C223" s="32"/>
      <c r="D223" s="32"/>
      <c r="E223" s="33"/>
      <c r="F223" s="35" t="str">
        <f aca="false">IF(C223="","",IFERROR(INDEX(Kategorier!$B$6:$B$40,MATCH(C223,Kategorier!$C$6:$C$40,0)),"?"))</f>
        <v/>
      </c>
    </row>
    <row r="224" customFormat="false" ht="15" hidden="false" customHeight="false" outlineLevel="0" collapsed="false">
      <c r="B224" s="34"/>
      <c r="C224" s="32"/>
      <c r="D224" s="32"/>
      <c r="E224" s="33"/>
      <c r="F224" s="35" t="str">
        <f aca="false">IF(C224="","",IFERROR(INDEX(Kategorier!$B$6:$B$40,MATCH(C224,Kategorier!$C$6:$C$40,0)),"?"))</f>
        <v/>
      </c>
    </row>
    <row r="225" customFormat="false" ht="15" hidden="false" customHeight="false" outlineLevel="0" collapsed="false">
      <c r="B225" s="34"/>
      <c r="C225" s="32"/>
      <c r="D225" s="32"/>
      <c r="E225" s="33"/>
      <c r="F225" s="35" t="str">
        <f aca="false">IF(C225="","",IFERROR(INDEX(Kategorier!$B$6:$B$40,MATCH(C225,Kategorier!$C$6:$C$40,0)),"?"))</f>
        <v/>
      </c>
    </row>
    <row r="226" customFormat="false" ht="15" hidden="false" customHeight="false" outlineLevel="0" collapsed="false">
      <c r="B226" s="34"/>
      <c r="C226" s="32"/>
      <c r="D226" s="32"/>
      <c r="E226" s="33"/>
      <c r="F226" s="35" t="str">
        <f aca="false">IF(C226="","",IFERROR(INDEX(Kategorier!$B$6:$B$40,MATCH(C226,Kategorier!$C$6:$C$40,0)),"?"))</f>
        <v/>
      </c>
    </row>
    <row r="227" customFormat="false" ht="15" hidden="false" customHeight="false" outlineLevel="0" collapsed="false">
      <c r="B227" s="34"/>
      <c r="C227" s="32"/>
      <c r="D227" s="32"/>
      <c r="E227" s="33"/>
      <c r="F227" s="35" t="str">
        <f aca="false">IF(C227="","",IFERROR(INDEX(Kategorier!$B$6:$B$40,MATCH(C227,Kategorier!$C$6:$C$40,0)),"?"))</f>
        <v/>
      </c>
    </row>
    <row r="228" customFormat="false" ht="15" hidden="false" customHeight="false" outlineLevel="0" collapsed="false">
      <c r="B228" s="34"/>
      <c r="C228" s="32"/>
      <c r="D228" s="32"/>
      <c r="E228" s="33"/>
      <c r="F228" s="35" t="str">
        <f aca="false">IF(C228="","",IFERROR(INDEX(Kategorier!$B$6:$B$40,MATCH(C228,Kategorier!$C$6:$C$40,0)),"?"))</f>
        <v/>
      </c>
    </row>
    <row r="229" customFormat="false" ht="15" hidden="false" customHeight="false" outlineLevel="0" collapsed="false">
      <c r="B229" s="34"/>
      <c r="C229" s="32"/>
      <c r="D229" s="32"/>
      <c r="E229" s="33"/>
      <c r="F229" s="35" t="str">
        <f aca="false">IF(C229="","",IFERROR(INDEX(Kategorier!$B$6:$B$40,MATCH(C229,Kategorier!$C$6:$C$40,0)),"?"))</f>
        <v/>
      </c>
    </row>
    <row r="230" customFormat="false" ht="15" hidden="false" customHeight="false" outlineLevel="0" collapsed="false">
      <c r="B230" s="34"/>
      <c r="C230" s="32"/>
      <c r="D230" s="32"/>
      <c r="E230" s="33"/>
      <c r="F230" s="35" t="str">
        <f aca="false">IF(C230="","",IFERROR(INDEX(Kategorier!$B$6:$B$40,MATCH(C230,Kategorier!$C$6:$C$40,0)),"?"))</f>
        <v/>
      </c>
    </row>
    <row r="231" customFormat="false" ht="15" hidden="false" customHeight="false" outlineLevel="0" collapsed="false">
      <c r="B231" s="34"/>
      <c r="C231" s="32"/>
      <c r="D231" s="32"/>
      <c r="E231" s="33"/>
      <c r="F231" s="35" t="str">
        <f aca="false">IF(C231="","",IFERROR(INDEX(Kategorier!$B$6:$B$40,MATCH(C231,Kategorier!$C$6:$C$40,0)),"?"))</f>
        <v/>
      </c>
    </row>
    <row r="232" customFormat="false" ht="15" hidden="false" customHeight="false" outlineLevel="0" collapsed="false">
      <c r="B232" s="34"/>
      <c r="C232" s="32"/>
      <c r="D232" s="32"/>
      <c r="E232" s="33"/>
      <c r="F232" s="35" t="str">
        <f aca="false">IF(C232="","",IFERROR(INDEX(Kategorier!$B$6:$B$40,MATCH(C232,Kategorier!$C$6:$C$40,0)),"?"))</f>
        <v/>
      </c>
    </row>
    <row r="233" customFormat="false" ht="15" hidden="false" customHeight="false" outlineLevel="0" collapsed="false">
      <c r="B233" s="34"/>
      <c r="C233" s="32"/>
      <c r="D233" s="32"/>
      <c r="E233" s="33"/>
      <c r="F233" s="35" t="str">
        <f aca="false">IF(C233="","",IFERROR(INDEX(Kategorier!$B$6:$B$40,MATCH(C233,Kategorier!$C$6:$C$40,0)),"?"))</f>
        <v/>
      </c>
    </row>
    <row r="234" customFormat="false" ht="15" hidden="false" customHeight="false" outlineLevel="0" collapsed="false">
      <c r="B234" s="34"/>
      <c r="C234" s="32"/>
      <c r="D234" s="32"/>
      <c r="E234" s="33"/>
      <c r="F234" s="35" t="str">
        <f aca="false">IF(C234="","",IFERROR(INDEX(Kategorier!$B$6:$B$40,MATCH(C234,Kategorier!$C$6:$C$40,0)),"?"))</f>
        <v/>
      </c>
    </row>
    <row r="235" customFormat="false" ht="15" hidden="false" customHeight="false" outlineLevel="0" collapsed="false">
      <c r="B235" s="34"/>
      <c r="C235" s="32"/>
      <c r="D235" s="32"/>
      <c r="E235" s="33"/>
      <c r="F235" s="35" t="str">
        <f aca="false">IF(C235="","",IFERROR(INDEX(Kategorier!$B$6:$B$40,MATCH(C235,Kategorier!$C$6:$C$40,0)),"?"))</f>
        <v/>
      </c>
    </row>
    <row r="236" customFormat="false" ht="15" hidden="false" customHeight="false" outlineLevel="0" collapsed="false">
      <c r="B236" s="34"/>
      <c r="C236" s="32"/>
      <c r="D236" s="32"/>
      <c r="E236" s="33"/>
      <c r="F236" s="35" t="str">
        <f aca="false">IF(C236="","",IFERROR(INDEX(Kategorier!$B$6:$B$40,MATCH(C236,Kategorier!$C$6:$C$40,0)),"?"))</f>
        <v/>
      </c>
    </row>
    <row r="237" customFormat="false" ht="15" hidden="false" customHeight="false" outlineLevel="0" collapsed="false">
      <c r="B237" s="34"/>
      <c r="C237" s="32"/>
      <c r="D237" s="32"/>
      <c r="E237" s="33"/>
      <c r="F237" s="35" t="str">
        <f aca="false">IF(C237="","",IFERROR(INDEX(Kategorier!$B$6:$B$40,MATCH(C237,Kategorier!$C$6:$C$40,0)),"?"))</f>
        <v/>
      </c>
    </row>
    <row r="238" customFormat="false" ht="15" hidden="false" customHeight="false" outlineLevel="0" collapsed="false">
      <c r="B238" s="34"/>
      <c r="C238" s="32"/>
      <c r="D238" s="32"/>
      <c r="E238" s="33"/>
      <c r="F238" s="35" t="str">
        <f aca="false">IF(C238="","",IFERROR(INDEX(Kategorier!$B$6:$B$40,MATCH(C238,Kategorier!$C$6:$C$40,0)),"?"))</f>
        <v/>
      </c>
    </row>
    <row r="239" customFormat="false" ht="15" hidden="false" customHeight="false" outlineLevel="0" collapsed="false">
      <c r="B239" s="34"/>
      <c r="C239" s="32"/>
      <c r="D239" s="32"/>
      <c r="E239" s="33"/>
      <c r="F239" s="35" t="str">
        <f aca="false">IF(C239="","",IFERROR(INDEX(Kategorier!$B$6:$B$40,MATCH(C239,Kategorier!$C$6:$C$40,0)),"?"))</f>
        <v/>
      </c>
    </row>
    <row r="240" customFormat="false" ht="15" hidden="false" customHeight="false" outlineLevel="0" collapsed="false">
      <c r="B240" s="34"/>
      <c r="C240" s="32"/>
      <c r="D240" s="32"/>
      <c r="E240" s="33"/>
      <c r="F240" s="35" t="str">
        <f aca="false">IF(C240="","",IFERROR(INDEX(Kategorier!$B$6:$B$40,MATCH(C240,Kategorier!$C$6:$C$40,0)),"?"))</f>
        <v/>
      </c>
    </row>
    <row r="241" customFormat="false" ht="15" hidden="false" customHeight="false" outlineLevel="0" collapsed="false">
      <c r="B241" s="34"/>
      <c r="C241" s="32"/>
      <c r="D241" s="32"/>
      <c r="E241" s="33"/>
      <c r="F241" s="35" t="str">
        <f aca="false">IF(C241="","",IFERROR(INDEX(Kategorier!$B$6:$B$40,MATCH(C241,Kategorier!$C$6:$C$40,0)),"?"))</f>
        <v/>
      </c>
    </row>
    <row r="242" customFormat="false" ht="15" hidden="false" customHeight="false" outlineLevel="0" collapsed="false">
      <c r="B242" s="34"/>
      <c r="C242" s="32"/>
      <c r="D242" s="32"/>
      <c r="E242" s="33"/>
      <c r="F242" s="35" t="str">
        <f aca="false">IF(C242="","",IFERROR(INDEX(Kategorier!$B$6:$B$40,MATCH(C242,Kategorier!$C$6:$C$40,0)),"?"))</f>
        <v/>
      </c>
    </row>
    <row r="243" customFormat="false" ht="15" hidden="false" customHeight="false" outlineLevel="0" collapsed="false">
      <c r="B243" s="34"/>
      <c r="C243" s="32"/>
      <c r="D243" s="32"/>
      <c r="E243" s="33"/>
      <c r="F243" s="35" t="str">
        <f aca="false">IF(C243="","",IFERROR(INDEX(Kategorier!$B$6:$B$40,MATCH(C243,Kategorier!$C$6:$C$40,0)),"?"))</f>
        <v/>
      </c>
    </row>
    <row r="244" customFormat="false" ht="15" hidden="false" customHeight="false" outlineLevel="0" collapsed="false">
      <c r="B244" s="34"/>
      <c r="C244" s="32"/>
      <c r="D244" s="32"/>
      <c r="E244" s="33"/>
      <c r="F244" s="35" t="str">
        <f aca="false">IF(C244="","",IFERROR(INDEX(Kategorier!$B$6:$B$40,MATCH(C244,Kategorier!$C$6:$C$40,0)),"?"))</f>
        <v/>
      </c>
    </row>
    <row r="245" customFormat="false" ht="15" hidden="false" customHeight="false" outlineLevel="0" collapsed="false">
      <c r="B245" s="34"/>
      <c r="C245" s="32"/>
      <c r="D245" s="32"/>
      <c r="E245" s="33"/>
      <c r="F245" s="35" t="str">
        <f aca="false">IF(C245="","",IFERROR(INDEX(Kategorier!$B$6:$B$40,MATCH(C245,Kategorier!$C$6:$C$40,0)),"?"))</f>
        <v/>
      </c>
    </row>
    <row r="246" customFormat="false" ht="15" hidden="false" customHeight="false" outlineLevel="0" collapsed="false">
      <c r="B246" s="34"/>
      <c r="C246" s="32"/>
      <c r="D246" s="32"/>
      <c r="E246" s="33"/>
      <c r="F246" s="35" t="str">
        <f aca="false">IF(C246="","",IFERROR(INDEX(Kategorier!$B$6:$B$40,MATCH(C246,Kategorier!$C$6:$C$40,0)),"?"))</f>
        <v/>
      </c>
    </row>
    <row r="247" customFormat="false" ht="15" hidden="false" customHeight="false" outlineLevel="0" collapsed="false">
      <c r="B247" s="34"/>
      <c r="C247" s="32"/>
      <c r="D247" s="32"/>
      <c r="E247" s="33"/>
      <c r="F247" s="35" t="str">
        <f aca="false">IF(C247="","",IFERROR(INDEX(Kategorier!$B$6:$B$40,MATCH(C247,Kategorier!$C$6:$C$40,0)),"?"))</f>
        <v/>
      </c>
    </row>
    <row r="248" customFormat="false" ht="15" hidden="false" customHeight="false" outlineLevel="0" collapsed="false">
      <c r="B248" s="34"/>
      <c r="C248" s="32"/>
      <c r="D248" s="32"/>
      <c r="E248" s="33"/>
      <c r="F248" s="35" t="str">
        <f aca="false">IF(C248="","",IFERROR(INDEX(Kategorier!$B$6:$B$40,MATCH(C248,Kategorier!$C$6:$C$40,0)),"?"))</f>
        <v/>
      </c>
    </row>
    <row r="249" customFormat="false" ht="15" hidden="false" customHeight="false" outlineLevel="0" collapsed="false">
      <c r="B249" s="34"/>
      <c r="C249" s="32"/>
      <c r="D249" s="32"/>
      <c r="E249" s="33"/>
      <c r="F249" s="35" t="str">
        <f aca="false">IF(C249="","",IFERROR(INDEX(Kategorier!$B$6:$B$40,MATCH(C249,Kategorier!$C$6:$C$40,0)),"?"))</f>
        <v/>
      </c>
    </row>
    <row r="250" customFormat="false" ht="15" hidden="false" customHeight="false" outlineLevel="0" collapsed="false">
      <c r="B250" s="34"/>
      <c r="C250" s="32"/>
      <c r="D250" s="32"/>
      <c r="E250" s="33"/>
      <c r="F250" s="35" t="str">
        <f aca="false">IF(C250="","",IFERROR(INDEX(Kategorier!$B$6:$B$40,MATCH(C250,Kategorier!$C$6:$C$40,0)),"?"))</f>
        <v/>
      </c>
    </row>
    <row r="251" customFormat="false" ht="15" hidden="false" customHeight="false" outlineLevel="0" collapsed="false">
      <c r="B251" s="34"/>
      <c r="C251" s="32"/>
      <c r="D251" s="32"/>
      <c r="E251" s="33"/>
      <c r="F251" s="35" t="str">
        <f aca="false">IF(C251="","",IFERROR(INDEX(Kategorier!$B$6:$B$40,MATCH(C251,Kategorier!$C$6:$C$40,0)),"?"))</f>
        <v/>
      </c>
    </row>
    <row r="252" customFormat="false" ht="15" hidden="false" customHeight="false" outlineLevel="0" collapsed="false">
      <c r="B252" s="34"/>
      <c r="C252" s="32"/>
      <c r="D252" s="32"/>
      <c r="E252" s="33"/>
      <c r="F252" s="35" t="str">
        <f aca="false">IF(C252="","",IFERROR(INDEX(Kategorier!$B$6:$B$40,MATCH(C252,Kategorier!$C$6:$C$40,0)),"?"))</f>
        <v/>
      </c>
    </row>
    <row r="253" customFormat="false" ht="15" hidden="false" customHeight="false" outlineLevel="0" collapsed="false">
      <c r="B253" s="34"/>
      <c r="C253" s="32"/>
      <c r="D253" s="32"/>
      <c r="E253" s="33"/>
      <c r="F253" s="35" t="str">
        <f aca="false">IF(C253="","",IFERROR(INDEX(Kategorier!$B$6:$B$40,MATCH(C253,Kategorier!$C$6:$C$40,0)),"?"))</f>
        <v/>
      </c>
    </row>
    <row r="254" customFormat="false" ht="15" hidden="false" customHeight="false" outlineLevel="0" collapsed="false">
      <c r="B254" s="34"/>
      <c r="C254" s="32"/>
      <c r="D254" s="32"/>
      <c r="E254" s="33"/>
      <c r="F254" s="35" t="str">
        <f aca="false">IF(C254="","",IFERROR(INDEX(Kategorier!$B$6:$B$40,MATCH(C254,Kategorier!$C$6:$C$40,0)),"?"))</f>
        <v/>
      </c>
    </row>
    <row r="255" customFormat="false" ht="15" hidden="false" customHeight="false" outlineLevel="0" collapsed="false">
      <c r="B255" s="34"/>
      <c r="C255" s="32"/>
      <c r="D255" s="32"/>
      <c r="E255" s="33"/>
      <c r="F255" s="35" t="str">
        <f aca="false">IF(C255="","",IFERROR(INDEX(Kategorier!$B$6:$B$40,MATCH(C255,Kategorier!$C$6:$C$40,0)),"?"))</f>
        <v/>
      </c>
    </row>
    <row r="256" customFormat="false" ht="15" hidden="false" customHeight="false" outlineLevel="0" collapsed="false">
      <c r="B256" s="34"/>
      <c r="C256" s="32"/>
      <c r="D256" s="32"/>
      <c r="E256" s="33"/>
      <c r="F256" s="35" t="str">
        <f aca="false">IF(C256="","",IFERROR(INDEX(Kategorier!$B$6:$B$40,MATCH(C256,Kategorier!$C$6:$C$40,0)),"?"))</f>
        <v/>
      </c>
    </row>
    <row r="257" customFormat="false" ht="15" hidden="false" customHeight="false" outlineLevel="0" collapsed="false">
      <c r="B257" s="34"/>
      <c r="C257" s="32"/>
      <c r="D257" s="32"/>
      <c r="E257" s="33"/>
      <c r="F257" s="35" t="str">
        <f aca="false">IF(C257="","",IFERROR(INDEX(Kategorier!$B$6:$B$40,MATCH(C257,Kategorier!$C$6:$C$40,0)),"?"))</f>
        <v/>
      </c>
    </row>
    <row r="258" customFormat="false" ht="15" hidden="false" customHeight="false" outlineLevel="0" collapsed="false">
      <c r="B258" s="34"/>
      <c r="C258" s="32"/>
      <c r="D258" s="32"/>
      <c r="E258" s="33"/>
      <c r="F258" s="35" t="str">
        <f aca="false">IF(C258="","",IFERROR(INDEX(Kategorier!$B$6:$B$40,MATCH(C258,Kategorier!$C$6:$C$40,0)),"?"))</f>
        <v/>
      </c>
    </row>
    <row r="259" customFormat="false" ht="15" hidden="false" customHeight="false" outlineLevel="0" collapsed="false">
      <c r="B259" s="34"/>
      <c r="C259" s="32"/>
      <c r="D259" s="32"/>
      <c r="E259" s="33"/>
      <c r="F259" s="35" t="str">
        <f aca="false">IF(C259="","",IFERROR(INDEX(Kategorier!$B$6:$B$40,MATCH(C259,Kategorier!$C$6:$C$40,0)),"?"))</f>
        <v/>
      </c>
    </row>
    <row r="260" customFormat="false" ht="15" hidden="false" customHeight="false" outlineLevel="0" collapsed="false">
      <c r="B260" s="34"/>
      <c r="C260" s="32"/>
      <c r="D260" s="32"/>
      <c r="E260" s="33"/>
      <c r="F260" s="35" t="str">
        <f aca="false">IF(C260="","",IFERROR(INDEX(Kategorier!$B$6:$B$40,MATCH(C260,Kategorier!$C$6:$C$40,0)),"?"))</f>
        <v/>
      </c>
    </row>
    <row r="261" customFormat="false" ht="15" hidden="false" customHeight="false" outlineLevel="0" collapsed="false">
      <c r="B261" s="34"/>
      <c r="C261" s="32"/>
      <c r="D261" s="32"/>
      <c r="E261" s="33"/>
      <c r="F261" s="35" t="str">
        <f aca="false">IF(C261="","",IFERROR(INDEX(Kategorier!$B$6:$B$40,MATCH(C261,Kategorier!$C$6:$C$40,0)),"?"))</f>
        <v/>
      </c>
    </row>
    <row r="262" customFormat="false" ht="15" hidden="false" customHeight="false" outlineLevel="0" collapsed="false">
      <c r="B262" s="34"/>
      <c r="C262" s="32"/>
      <c r="D262" s="32"/>
      <c r="E262" s="33"/>
      <c r="F262" s="35" t="str">
        <f aca="false">IF(C262="","",IFERROR(INDEX(Kategorier!$B$6:$B$40,MATCH(C262,Kategorier!$C$6:$C$40,0)),"?"))</f>
        <v/>
      </c>
    </row>
    <row r="263" customFormat="false" ht="15" hidden="false" customHeight="false" outlineLevel="0" collapsed="false">
      <c r="B263" s="34"/>
      <c r="C263" s="32"/>
      <c r="D263" s="32"/>
      <c r="E263" s="33"/>
      <c r="F263" s="35" t="str">
        <f aca="false">IF(C263="","",IFERROR(INDEX(Kategorier!$B$6:$B$40,MATCH(C263,Kategorier!$C$6:$C$40,0)),"?"))</f>
        <v/>
      </c>
    </row>
    <row r="264" customFormat="false" ht="15" hidden="false" customHeight="false" outlineLevel="0" collapsed="false">
      <c r="B264" s="34"/>
      <c r="C264" s="32"/>
      <c r="D264" s="32"/>
      <c r="E264" s="33"/>
      <c r="F264" s="35" t="str">
        <f aca="false">IF(C264="","",IFERROR(INDEX(Kategorier!$B$6:$B$40,MATCH(C264,Kategorier!$C$6:$C$40,0)),"?"))</f>
        <v/>
      </c>
    </row>
    <row r="265" customFormat="false" ht="15" hidden="false" customHeight="false" outlineLevel="0" collapsed="false">
      <c r="B265" s="34"/>
      <c r="C265" s="32"/>
      <c r="D265" s="32"/>
      <c r="E265" s="33"/>
      <c r="F265" s="35" t="str">
        <f aca="false">IF(C265="","",IFERROR(INDEX(Kategorier!$B$6:$B$40,MATCH(C265,Kategorier!$C$6:$C$40,0)),"?"))</f>
        <v/>
      </c>
    </row>
    <row r="266" customFormat="false" ht="15" hidden="false" customHeight="false" outlineLevel="0" collapsed="false">
      <c r="B266" s="34"/>
      <c r="C266" s="32"/>
      <c r="D266" s="32"/>
      <c r="E266" s="33"/>
      <c r="F266" s="35" t="str">
        <f aca="false">IF(C266="","",IFERROR(INDEX(Kategorier!$B$6:$B$40,MATCH(C266,Kategorier!$C$6:$C$40,0)),"?"))</f>
        <v/>
      </c>
    </row>
    <row r="267" customFormat="false" ht="15" hidden="false" customHeight="false" outlineLevel="0" collapsed="false">
      <c r="B267" s="34"/>
      <c r="C267" s="32"/>
      <c r="D267" s="32"/>
      <c r="E267" s="33"/>
      <c r="F267" s="35" t="str">
        <f aca="false">IF(C267="","",IFERROR(INDEX(Kategorier!$B$6:$B$40,MATCH(C267,Kategorier!$C$6:$C$40,0)),"?"))</f>
        <v/>
      </c>
    </row>
    <row r="268" customFormat="false" ht="15" hidden="false" customHeight="false" outlineLevel="0" collapsed="false">
      <c r="B268" s="34"/>
      <c r="C268" s="32"/>
      <c r="D268" s="32"/>
      <c r="E268" s="33"/>
      <c r="F268" s="35" t="str">
        <f aca="false">IF(C268="","",IFERROR(INDEX(Kategorier!$B$6:$B$40,MATCH(C268,Kategorier!$C$6:$C$40,0)),"?"))</f>
        <v/>
      </c>
    </row>
    <row r="269" customFormat="false" ht="15" hidden="false" customHeight="false" outlineLevel="0" collapsed="false">
      <c r="B269" s="34"/>
      <c r="C269" s="32"/>
      <c r="D269" s="32"/>
      <c r="E269" s="33"/>
      <c r="F269" s="35" t="str">
        <f aca="false">IF(C269="","",IFERROR(INDEX(Kategorier!$B$6:$B$40,MATCH(C269,Kategorier!$C$6:$C$40,0)),"?"))</f>
        <v/>
      </c>
    </row>
    <row r="270" customFormat="false" ht="15" hidden="false" customHeight="false" outlineLevel="0" collapsed="false">
      <c r="B270" s="34"/>
      <c r="C270" s="32"/>
      <c r="D270" s="32"/>
      <c r="E270" s="33"/>
      <c r="F270" s="35" t="str">
        <f aca="false">IF(C270="","",IFERROR(INDEX(Kategorier!$B$6:$B$40,MATCH(C270,Kategorier!$C$6:$C$40,0)),"?"))</f>
        <v/>
      </c>
    </row>
    <row r="271" customFormat="false" ht="15" hidden="false" customHeight="false" outlineLevel="0" collapsed="false">
      <c r="B271" s="34"/>
      <c r="C271" s="32"/>
      <c r="D271" s="32"/>
      <c r="E271" s="33"/>
      <c r="F271" s="35" t="str">
        <f aca="false">IF(C271="","",IFERROR(INDEX(Kategorier!$B$6:$B$40,MATCH(C271,Kategorier!$C$6:$C$40,0)),"?"))</f>
        <v/>
      </c>
    </row>
    <row r="272" customFormat="false" ht="15" hidden="false" customHeight="false" outlineLevel="0" collapsed="false">
      <c r="B272" s="34"/>
      <c r="C272" s="32"/>
      <c r="D272" s="32"/>
      <c r="E272" s="33"/>
      <c r="F272" s="35" t="str">
        <f aca="false">IF(C272="","",IFERROR(INDEX(Kategorier!$B$6:$B$40,MATCH(C272,Kategorier!$C$6:$C$40,0)),"?"))</f>
        <v/>
      </c>
    </row>
    <row r="273" customFormat="false" ht="15" hidden="false" customHeight="false" outlineLevel="0" collapsed="false">
      <c r="B273" s="34"/>
      <c r="C273" s="32"/>
      <c r="D273" s="32"/>
      <c r="E273" s="33"/>
      <c r="F273" s="35" t="str">
        <f aca="false">IF(C273="","",IFERROR(INDEX(Kategorier!$B$6:$B$40,MATCH(C273,Kategorier!$C$6:$C$40,0)),"?"))</f>
        <v/>
      </c>
    </row>
    <row r="274" customFormat="false" ht="15" hidden="false" customHeight="false" outlineLevel="0" collapsed="false">
      <c r="B274" s="34"/>
      <c r="C274" s="32"/>
      <c r="D274" s="32"/>
      <c r="E274" s="33"/>
      <c r="F274" s="35" t="str">
        <f aca="false">IF(C274="","",IFERROR(INDEX(Kategorier!$B$6:$B$40,MATCH(C274,Kategorier!$C$6:$C$40,0)),"?"))</f>
        <v/>
      </c>
    </row>
    <row r="275" customFormat="false" ht="15" hidden="false" customHeight="false" outlineLevel="0" collapsed="false">
      <c r="B275" s="34"/>
      <c r="C275" s="32"/>
      <c r="D275" s="32"/>
      <c r="E275" s="33"/>
      <c r="F275" s="35" t="str">
        <f aca="false">IF(C275="","",IFERROR(INDEX(Kategorier!$B$6:$B$40,MATCH(C275,Kategorier!$C$6:$C$40,0)),"?"))</f>
        <v/>
      </c>
    </row>
    <row r="276" customFormat="false" ht="15" hidden="false" customHeight="false" outlineLevel="0" collapsed="false">
      <c r="B276" s="34"/>
      <c r="C276" s="32"/>
      <c r="D276" s="32"/>
      <c r="E276" s="33"/>
      <c r="F276" s="35" t="str">
        <f aca="false">IF(C276="","",IFERROR(INDEX(Kategorier!$B$6:$B$40,MATCH(C276,Kategorier!$C$6:$C$40,0)),"?"))</f>
        <v/>
      </c>
    </row>
    <row r="277" customFormat="false" ht="15" hidden="false" customHeight="false" outlineLevel="0" collapsed="false">
      <c r="B277" s="34"/>
      <c r="C277" s="32"/>
      <c r="D277" s="32"/>
      <c r="E277" s="33"/>
      <c r="F277" s="35" t="str">
        <f aca="false">IF(C277="","",IFERROR(INDEX(Kategorier!$B$6:$B$40,MATCH(C277,Kategorier!$C$6:$C$40,0)),"?"))</f>
        <v/>
      </c>
    </row>
    <row r="278" customFormat="false" ht="15" hidden="false" customHeight="false" outlineLevel="0" collapsed="false">
      <c r="B278" s="34"/>
      <c r="C278" s="32"/>
      <c r="D278" s="32"/>
      <c r="E278" s="33"/>
      <c r="F278" s="35" t="str">
        <f aca="false">IF(C278="","",IFERROR(INDEX(Kategorier!$B$6:$B$40,MATCH(C278,Kategorier!$C$6:$C$40,0)),"?"))</f>
        <v/>
      </c>
    </row>
    <row r="279" customFormat="false" ht="15" hidden="false" customHeight="false" outlineLevel="0" collapsed="false">
      <c r="B279" s="34"/>
      <c r="C279" s="32"/>
      <c r="D279" s="32"/>
      <c r="E279" s="33"/>
      <c r="F279" s="35" t="str">
        <f aca="false">IF(C279="","",IFERROR(INDEX(Kategorier!$B$6:$B$40,MATCH(C279,Kategorier!$C$6:$C$40,0)),"?"))</f>
        <v/>
      </c>
    </row>
    <row r="280" customFormat="false" ht="15" hidden="false" customHeight="false" outlineLevel="0" collapsed="false">
      <c r="B280" s="34"/>
      <c r="C280" s="32"/>
      <c r="D280" s="32"/>
      <c r="E280" s="33"/>
      <c r="F280" s="35" t="str">
        <f aca="false">IF(C280="","",IFERROR(INDEX(Kategorier!$B$6:$B$40,MATCH(C280,Kategorier!$C$6:$C$40,0)),"?"))</f>
        <v/>
      </c>
    </row>
    <row r="281" customFormat="false" ht="15" hidden="false" customHeight="false" outlineLevel="0" collapsed="false">
      <c r="B281" s="34"/>
      <c r="C281" s="32"/>
      <c r="D281" s="32"/>
      <c r="E281" s="33"/>
      <c r="F281" s="35" t="str">
        <f aca="false">IF(C281="","",IFERROR(INDEX(Kategorier!$B$6:$B$40,MATCH(C281,Kategorier!$C$6:$C$40,0)),"?"))</f>
        <v/>
      </c>
    </row>
    <row r="282" customFormat="false" ht="15" hidden="false" customHeight="false" outlineLevel="0" collapsed="false">
      <c r="B282" s="34"/>
      <c r="C282" s="32"/>
      <c r="D282" s="32"/>
      <c r="E282" s="33"/>
      <c r="F282" s="35" t="str">
        <f aca="false">IF(C282="","",IFERROR(INDEX(Kategorier!$B$6:$B$40,MATCH(C282,Kategorier!$C$6:$C$40,0)),"?"))</f>
        <v/>
      </c>
    </row>
    <row r="283" customFormat="false" ht="15" hidden="false" customHeight="false" outlineLevel="0" collapsed="false">
      <c r="B283" s="34"/>
      <c r="C283" s="32"/>
      <c r="D283" s="32"/>
      <c r="E283" s="33"/>
      <c r="F283" s="35" t="str">
        <f aca="false">IF(C283="","",IFERROR(INDEX(Kategorier!$B$6:$B$40,MATCH(C283,Kategorier!$C$6:$C$40,0)),"?"))</f>
        <v/>
      </c>
    </row>
    <row r="284" customFormat="false" ht="15" hidden="false" customHeight="false" outlineLevel="0" collapsed="false">
      <c r="B284" s="34"/>
      <c r="C284" s="32"/>
      <c r="D284" s="32"/>
      <c r="E284" s="33"/>
      <c r="F284" s="35" t="str">
        <f aca="false">IF(C284="","",IFERROR(INDEX(Kategorier!$B$6:$B$40,MATCH(C284,Kategorier!$C$6:$C$40,0)),"?"))</f>
        <v/>
      </c>
    </row>
    <row r="285" customFormat="false" ht="15" hidden="false" customHeight="false" outlineLevel="0" collapsed="false">
      <c r="B285" s="34"/>
      <c r="C285" s="32"/>
      <c r="D285" s="32"/>
      <c r="E285" s="33"/>
      <c r="F285" s="35" t="str">
        <f aca="false">IF(C285="","",IFERROR(INDEX(Kategorier!$B$6:$B$40,MATCH(C285,Kategorier!$C$6:$C$40,0)),"?"))</f>
        <v/>
      </c>
    </row>
    <row r="286" customFormat="false" ht="15" hidden="false" customHeight="false" outlineLevel="0" collapsed="false">
      <c r="B286" s="34"/>
      <c r="C286" s="32"/>
      <c r="D286" s="32"/>
      <c r="E286" s="33"/>
      <c r="F286" s="35" t="str">
        <f aca="false">IF(C286="","",IFERROR(INDEX(Kategorier!$B$6:$B$40,MATCH(C286,Kategorier!$C$6:$C$40,0)),"?"))</f>
        <v/>
      </c>
    </row>
    <row r="287" customFormat="false" ht="15" hidden="false" customHeight="false" outlineLevel="0" collapsed="false">
      <c r="B287" s="34"/>
      <c r="C287" s="32"/>
      <c r="D287" s="32"/>
      <c r="E287" s="33"/>
      <c r="F287" s="35" t="str">
        <f aca="false">IF(C287="","",IFERROR(INDEX(Kategorier!$B$6:$B$40,MATCH(C287,Kategorier!$C$6:$C$40,0)),"?"))</f>
        <v/>
      </c>
    </row>
    <row r="288" customFormat="false" ht="15" hidden="false" customHeight="false" outlineLevel="0" collapsed="false">
      <c r="B288" s="34"/>
      <c r="C288" s="32"/>
      <c r="D288" s="32"/>
      <c r="E288" s="33"/>
      <c r="F288" s="35" t="str">
        <f aca="false">IF(C288="","",IFERROR(INDEX(Kategorier!$B$6:$B$40,MATCH(C288,Kategorier!$C$6:$C$40,0)),"?"))</f>
        <v/>
      </c>
    </row>
    <row r="289" customFormat="false" ht="15" hidden="false" customHeight="false" outlineLevel="0" collapsed="false">
      <c r="B289" s="34"/>
      <c r="C289" s="32"/>
      <c r="D289" s="32"/>
      <c r="E289" s="33"/>
      <c r="F289" s="35" t="str">
        <f aca="false">IF(C289="","",IFERROR(INDEX(Kategorier!$B$6:$B$40,MATCH(C289,Kategorier!$C$6:$C$40,0)),"?"))</f>
        <v/>
      </c>
    </row>
    <row r="290" customFormat="false" ht="15" hidden="false" customHeight="false" outlineLevel="0" collapsed="false">
      <c r="B290" s="34"/>
      <c r="C290" s="32"/>
      <c r="D290" s="32"/>
      <c r="E290" s="33"/>
      <c r="F290" s="35" t="str">
        <f aca="false">IF(C290="","",IFERROR(INDEX(Kategorier!$B$6:$B$40,MATCH(C290,Kategorier!$C$6:$C$40,0)),"?"))</f>
        <v/>
      </c>
    </row>
    <row r="291" customFormat="false" ht="15" hidden="false" customHeight="false" outlineLevel="0" collapsed="false">
      <c r="B291" s="34"/>
      <c r="C291" s="32"/>
      <c r="D291" s="32"/>
      <c r="E291" s="33"/>
      <c r="F291" s="35" t="str">
        <f aca="false">IF(C291="","",IFERROR(INDEX(Kategorier!$B$6:$B$40,MATCH(C291,Kategorier!$C$6:$C$40,0)),"?"))</f>
        <v/>
      </c>
    </row>
    <row r="292" customFormat="false" ht="15" hidden="false" customHeight="false" outlineLevel="0" collapsed="false">
      <c r="B292" s="34"/>
      <c r="C292" s="32"/>
      <c r="D292" s="32"/>
      <c r="E292" s="33"/>
      <c r="F292" s="35" t="str">
        <f aca="false">IF(C292="","",IFERROR(INDEX(Kategorier!$B$6:$B$40,MATCH(C292,Kategorier!$C$6:$C$40,0)),"?"))</f>
        <v/>
      </c>
    </row>
    <row r="293" customFormat="false" ht="15" hidden="false" customHeight="false" outlineLevel="0" collapsed="false">
      <c r="B293" s="34"/>
      <c r="C293" s="32"/>
      <c r="D293" s="32"/>
      <c r="E293" s="33"/>
      <c r="F293" s="35" t="str">
        <f aca="false">IF(C293="","",IFERROR(INDEX(Kategorier!$B$6:$B$40,MATCH(C293,Kategorier!$C$6:$C$40,0)),"?"))</f>
        <v/>
      </c>
    </row>
    <row r="294" customFormat="false" ht="15" hidden="false" customHeight="false" outlineLevel="0" collapsed="false">
      <c r="B294" s="34"/>
      <c r="C294" s="32"/>
      <c r="D294" s="32"/>
      <c r="E294" s="33"/>
      <c r="F294" s="35" t="str">
        <f aca="false">IF(C294="","",IFERROR(INDEX(Kategorier!$B$6:$B$40,MATCH(C294,Kategorier!$C$6:$C$40,0)),"?"))</f>
        <v/>
      </c>
    </row>
    <row r="295" customFormat="false" ht="15" hidden="false" customHeight="false" outlineLevel="0" collapsed="false">
      <c r="B295" s="34"/>
      <c r="C295" s="32"/>
      <c r="D295" s="32"/>
      <c r="E295" s="33"/>
      <c r="F295" s="35" t="str">
        <f aca="false">IF(C295="","",IFERROR(INDEX(Kategorier!$B$6:$B$40,MATCH(C295,Kategorier!$C$6:$C$40,0)),"?"))</f>
        <v/>
      </c>
    </row>
    <row r="296" customFormat="false" ht="15" hidden="false" customHeight="false" outlineLevel="0" collapsed="false">
      <c r="B296" s="34"/>
      <c r="C296" s="32"/>
      <c r="D296" s="32"/>
      <c r="E296" s="33"/>
      <c r="F296" s="35" t="str">
        <f aca="false">IF(C296="","",IFERROR(INDEX(Kategorier!$B$6:$B$40,MATCH(C296,Kategorier!$C$6:$C$40,0)),"?"))</f>
        <v/>
      </c>
    </row>
    <row r="297" customFormat="false" ht="15" hidden="false" customHeight="false" outlineLevel="0" collapsed="false">
      <c r="B297" s="34"/>
      <c r="C297" s="32"/>
      <c r="D297" s="32"/>
      <c r="E297" s="33"/>
      <c r="F297" s="35" t="str">
        <f aca="false">IF(C297="","",IFERROR(INDEX(Kategorier!$B$6:$B$40,MATCH(C297,Kategorier!$C$6:$C$40,0)),"?"))</f>
        <v/>
      </c>
    </row>
    <row r="298" customFormat="false" ht="15" hidden="false" customHeight="false" outlineLevel="0" collapsed="false">
      <c r="B298" s="34"/>
      <c r="C298" s="32"/>
      <c r="D298" s="32"/>
      <c r="E298" s="33"/>
      <c r="F298" s="35" t="str">
        <f aca="false">IF(C298="","",IFERROR(INDEX(Kategorier!$B$6:$B$40,MATCH(C298,Kategorier!$C$6:$C$40,0)),"?"))</f>
        <v/>
      </c>
    </row>
    <row r="299" customFormat="false" ht="15" hidden="false" customHeight="false" outlineLevel="0" collapsed="false">
      <c r="B299" s="34"/>
      <c r="C299" s="32"/>
      <c r="D299" s="32"/>
      <c r="E299" s="33"/>
      <c r="F299" s="35" t="str">
        <f aca="false">IF(C299="","",IFERROR(INDEX(Kategorier!$B$6:$B$40,MATCH(C299,Kategorier!$C$6:$C$40,0)),"?"))</f>
        <v/>
      </c>
    </row>
    <row r="300" customFormat="false" ht="15" hidden="false" customHeight="false" outlineLevel="0" collapsed="false">
      <c r="B300" s="34"/>
      <c r="C300" s="32"/>
      <c r="D300" s="32"/>
      <c r="E300" s="33"/>
      <c r="F300" s="35" t="str">
        <f aca="false">IF(C300="","",IFERROR(INDEX(Kategorier!$B$6:$B$40,MATCH(C300,Kategorier!$C$6:$C$40,0)),"?"))</f>
        <v/>
      </c>
    </row>
    <row r="301" customFormat="false" ht="15" hidden="false" customHeight="false" outlineLevel="0" collapsed="false">
      <c r="B301" s="34"/>
      <c r="C301" s="32"/>
      <c r="D301" s="32"/>
      <c r="E301" s="33"/>
      <c r="F301" s="35" t="str">
        <f aca="false">IF(C301="","",IFERROR(INDEX(Kategorier!$B$6:$B$40,MATCH(C301,Kategorier!$C$6:$C$40,0)),"?"))</f>
        <v/>
      </c>
    </row>
    <row r="302" customFormat="false" ht="15" hidden="false" customHeight="false" outlineLevel="0" collapsed="false">
      <c r="B302" s="34"/>
      <c r="C302" s="32"/>
      <c r="D302" s="32"/>
      <c r="E302" s="33"/>
      <c r="F302" s="35" t="str">
        <f aca="false">IF(C302="","",IFERROR(INDEX(Kategorier!$B$6:$B$40,MATCH(C302,Kategorier!$C$6:$C$40,0)),"?"))</f>
        <v/>
      </c>
    </row>
    <row r="303" customFormat="false" ht="15" hidden="false" customHeight="false" outlineLevel="0" collapsed="false">
      <c r="B303" s="34"/>
      <c r="C303" s="32"/>
      <c r="D303" s="32"/>
      <c r="E303" s="33"/>
      <c r="F303" s="35" t="str">
        <f aca="false">IF(C303="","",IFERROR(INDEX(Kategorier!$B$6:$B$40,MATCH(C303,Kategorier!$C$6:$C$40,0)),"?"))</f>
        <v/>
      </c>
    </row>
    <row r="304" customFormat="false" ht="15" hidden="false" customHeight="false" outlineLevel="0" collapsed="false">
      <c r="B304" s="34"/>
      <c r="C304" s="32"/>
      <c r="D304" s="32"/>
      <c r="E304" s="33"/>
      <c r="F304" s="35" t="str">
        <f aca="false">IF(C304="","",IFERROR(INDEX(Kategorier!$B$6:$B$40,MATCH(C304,Kategorier!$C$6:$C$40,0)),"?"))</f>
        <v/>
      </c>
    </row>
    <row r="305" customFormat="false" ht="15" hidden="false" customHeight="false" outlineLevel="0" collapsed="false">
      <c r="B305" s="34"/>
      <c r="C305" s="32"/>
      <c r="D305" s="32"/>
      <c r="E305" s="33"/>
      <c r="F305" s="35" t="str">
        <f aca="false">IF(C305="","",IFERROR(INDEX(Kategorier!$B$6:$B$40,MATCH(C305,Kategorier!$C$6:$C$40,0)),"?"))</f>
        <v/>
      </c>
    </row>
    <row r="306" customFormat="false" ht="15" hidden="false" customHeight="false" outlineLevel="0" collapsed="false">
      <c r="B306" s="34"/>
      <c r="C306" s="32"/>
      <c r="D306" s="32"/>
      <c r="E306" s="33"/>
      <c r="F306" s="35" t="str">
        <f aca="false">IF(C306="","",IFERROR(INDEX(Kategorier!$B$6:$B$40,MATCH(C306,Kategorier!$C$6:$C$40,0)),"?"))</f>
        <v/>
      </c>
    </row>
    <row r="307" customFormat="false" ht="15" hidden="false" customHeight="false" outlineLevel="0" collapsed="false">
      <c r="B307" s="34"/>
      <c r="C307" s="32"/>
      <c r="D307" s="32"/>
      <c r="E307" s="33"/>
      <c r="F307" s="35" t="str">
        <f aca="false">IF(C307="","",IFERROR(INDEX(Kategorier!$B$6:$B$40,MATCH(C307,Kategorier!$C$6:$C$40,0)),"?"))</f>
        <v/>
      </c>
    </row>
    <row r="308" customFormat="false" ht="15" hidden="false" customHeight="false" outlineLevel="0" collapsed="false">
      <c r="B308" s="34"/>
      <c r="C308" s="32"/>
      <c r="D308" s="32"/>
      <c r="E308" s="33"/>
      <c r="F308" s="35" t="str">
        <f aca="false">IF(C308="","",IFERROR(INDEX(Kategorier!$B$6:$B$40,MATCH(C308,Kategorier!$C$6:$C$40,0)),"?"))</f>
        <v/>
      </c>
    </row>
    <row r="309" customFormat="false" ht="15" hidden="false" customHeight="false" outlineLevel="0" collapsed="false">
      <c r="B309" s="34"/>
      <c r="C309" s="32"/>
      <c r="D309" s="32"/>
      <c r="E309" s="33"/>
      <c r="F309" s="35" t="str">
        <f aca="false">IF(C309="","",IFERROR(INDEX(Kategorier!$B$6:$B$40,MATCH(C309,Kategorier!$C$6:$C$40,0)),"?"))</f>
        <v/>
      </c>
    </row>
    <row r="310" customFormat="false" ht="15" hidden="false" customHeight="false" outlineLevel="0" collapsed="false">
      <c r="B310" s="34"/>
      <c r="C310" s="32"/>
      <c r="D310" s="32"/>
      <c r="E310" s="33"/>
      <c r="F310" s="35" t="str">
        <f aca="false">IF(C310="","",IFERROR(INDEX(Kategorier!$B$6:$B$40,MATCH(C310,Kategorier!$C$6:$C$40,0)),"?"))</f>
        <v/>
      </c>
    </row>
    <row r="311" customFormat="false" ht="15" hidden="false" customHeight="false" outlineLevel="0" collapsed="false">
      <c r="B311" s="34"/>
      <c r="C311" s="32"/>
      <c r="D311" s="32"/>
      <c r="E311" s="33"/>
      <c r="F311" s="35" t="str">
        <f aca="false">IF(C311="","",IFERROR(INDEX(Kategorier!$B$6:$B$40,MATCH(C311,Kategorier!$C$6:$C$40,0)),"?"))</f>
        <v/>
      </c>
    </row>
    <row r="312" customFormat="false" ht="15" hidden="false" customHeight="false" outlineLevel="0" collapsed="false">
      <c r="B312" s="34"/>
      <c r="C312" s="32"/>
      <c r="D312" s="32"/>
      <c r="E312" s="33"/>
      <c r="F312" s="35" t="str">
        <f aca="false">IF(C312="","",IFERROR(INDEX(Kategorier!$B$6:$B$40,MATCH(C312,Kategorier!$C$6:$C$40,0)),"?"))</f>
        <v/>
      </c>
    </row>
    <row r="313" customFormat="false" ht="15" hidden="false" customHeight="false" outlineLevel="0" collapsed="false">
      <c r="B313" s="34"/>
      <c r="C313" s="32"/>
      <c r="D313" s="32"/>
      <c r="E313" s="33"/>
      <c r="F313" s="35" t="str">
        <f aca="false">IF(C313="","",IFERROR(INDEX(Kategorier!$B$6:$B$40,MATCH(C313,Kategorier!$C$6:$C$40,0)),"?"))</f>
        <v/>
      </c>
    </row>
    <row r="314" customFormat="false" ht="15" hidden="false" customHeight="false" outlineLevel="0" collapsed="false">
      <c r="B314" s="34"/>
      <c r="C314" s="32"/>
      <c r="D314" s="32"/>
      <c r="E314" s="33"/>
      <c r="F314" s="35" t="str">
        <f aca="false">IF(C314="","",IFERROR(INDEX(Kategorier!$B$6:$B$40,MATCH(C314,Kategorier!$C$6:$C$40,0)),"?"))</f>
        <v/>
      </c>
    </row>
    <row r="315" customFormat="false" ht="15" hidden="false" customHeight="false" outlineLevel="0" collapsed="false">
      <c r="B315" s="34"/>
      <c r="C315" s="32"/>
      <c r="D315" s="32"/>
      <c r="E315" s="33"/>
      <c r="F315" s="35" t="str">
        <f aca="false">IF(C315="","",IFERROR(INDEX(Kategorier!$B$6:$B$40,MATCH(C315,Kategorier!$C$6:$C$40,0)),"?"))</f>
        <v/>
      </c>
    </row>
    <row r="316" customFormat="false" ht="15" hidden="false" customHeight="false" outlineLevel="0" collapsed="false">
      <c r="B316" s="34"/>
      <c r="C316" s="32"/>
      <c r="D316" s="32"/>
      <c r="E316" s="33"/>
      <c r="F316" s="35" t="str">
        <f aca="false">IF(C316="","",IFERROR(INDEX(Kategorier!$B$6:$B$40,MATCH(C316,Kategorier!$C$6:$C$40,0)),"?"))</f>
        <v/>
      </c>
    </row>
    <row r="317" customFormat="false" ht="15" hidden="false" customHeight="false" outlineLevel="0" collapsed="false">
      <c r="B317" s="34"/>
      <c r="C317" s="32"/>
      <c r="D317" s="32"/>
      <c r="E317" s="33"/>
      <c r="F317" s="35" t="str">
        <f aca="false">IF(C317="","",IFERROR(INDEX(Kategorier!$B$6:$B$40,MATCH(C317,Kategorier!$C$6:$C$40,0)),"?"))</f>
        <v/>
      </c>
    </row>
    <row r="318" customFormat="false" ht="15" hidden="false" customHeight="false" outlineLevel="0" collapsed="false">
      <c r="B318" s="34"/>
      <c r="C318" s="32"/>
      <c r="D318" s="32"/>
      <c r="E318" s="33"/>
      <c r="F318" s="35" t="str">
        <f aca="false">IF(C318="","",IFERROR(INDEX(Kategorier!$B$6:$B$40,MATCH(C318,Kategorier!$C$6:$C$40,0)),"?"))</f>
        <v/>
      </c>
    </row>
    <row r="319" customFormat="false" ht="15" hidden="false" customHeight="false" outlineLevel="0" collapsed="false">
      <c r="B319" s="34"/>
      <c r="C319" s="32"/>
      <c r="D319" s="32"/>
      <c r="E319" s="33"/>
      <c r="F319" s="35" t="str">
        <f aca="false">IF(C319="","",IFERROR(INDEX(Kategorier!$B$6:$B$40,MATCH(C319,Kategorier!$C$6:$C$40,0)),"?"))</f>
        <v/>
      </c>
    </row>
    <row r="320" customFormat="false" ht="15" hidden="false" customHeight="false" outlineLevel="0" collapsed="false">
      <c r="B320" s="34"/>
      <c r="C320" s="32"/>
      <c r="D320" s="32"/>
      <c r="E320" s="33"/>
      <c r="F320" s="35" t="str">
        <f aca="false">IF(C320="","",IFERROR(INDEX(Kategorier!$B$6:$B$40,MATCH(C320,Kategorier!$C$6:$C$40,0)),"?"))</f>
        <v/>
      </c>
    </row>
    <row r="321" customFormat="false" ht="15" hidden="false" customHeight="false" outlineLevel="0" collapsed="false">
      <c r="B321" s="34"/>
      <c r="C321" s="32"/>
      <c r="D321" s="32"/>
      <c r="E321" s="33"/>
      <c r="F321" s="35" t="str">
        <f aca="false">IF(C321="","",IFERROR(INDEX(Kategorier!$B$6:$B$40,MATCH(C321,Kategorier!$C$6:$C$40,0)),"?"))</f>
        <v/>
      </c>
    </row>
    <row r="322" customFormat="false" ht="15" hidden="false" customHeight="false" outlineLevel="0" collapsed="false">
      <c r="B322" s="34"/>
      <c r="C322" s="32"/>
      <c r="D322" s="32"/>
      <c r="E322" s="33"/>
      <c r="F322" s="35" t="str">
        <f aca="false">IF(C322="","",IFERROR(INDEX(Kategorier!$B$6:$B$40,MATCH(C322,Kategorier!$C$6:$C$40,0)),"?"))</f>
        <v/>
      </c>
    </row>
    <row r="323" customFormat="false" ht="15" hidden="false" customHeight="false" outlineLevel="0" collapsed="false">
      <c r="B323" s="34"/>
      <c r="C323" s="32"/>
      <c r="D323" s="32"/>
      <c r="E323" s="33"/>
      <c r="F323" s="35" t="str">
        <f aca="false">IF(C323="","",IFERROR(INDEX(Kategorier!$B$6:$B$40,MATCH(C323,Kategorier!$C$6:$C$40,0)),"?"))</f>
        <v/>
      </c>
    </row>
    <row r="324" customFormat="false" ht="15" hidden="false" customHeight="false" outlineLevel="0" collapsed="false">
      <c r="B324" s="34"/>
      <c r="C324" s="32"/>
      <c r="D324" s="32"/>
      <c r="E324" s="33"/>
      <c r="F324" s="35" t="str">
        <f aca="false">IF(C324="","",IFERROR(INDEX(Kategorier!$B$6:$B$40,MATCH(C324,Kategorier!$C$6:$C$40,0)),"?"))</f>
        <v/>
      </c>
    </row>
    <row r="325" customFormat="false" ht="15" hidden="false" customHeight="false" outlineLevel="0" collapsed="false">
      <c r="B325" s="34"/>
      <c r="C325" s="32"/>
      <c r="D325" s="32"/>
      <c r="E325" s="33"/>
      <c r="F325" s="35" t="str">
        <f aca="false">IF(C325="","",IFERROR(INDEX(Kategorier!$B$6:$B$40,MATCH(C325,Kategorier!$C$6:$C$40,0)),"?"))</f>
        <v/>
      </c>
    </row>
    <row r="326" customFormat="false" ht="15" hidden="false" customHeight="false" outlineLevel="0" collapsed="false">
      <c r="B326" s="34"/>
      <c r="C326" s="32"/>
      <c r="D326" s="32"/>
      <c r="E326" s="33"/>
      <c r="F326" s="35" t="str">
        <f aca="false">IF(C326="","",IFERROR(INDEX(Kategorier!$B$6:$B$40,MATCH(C326,Kategorier!$C$6:$C$40,0)),"?"))</f>
        <v/>
      </c>
    </row>
    <row r="327" customFormat="false" ht="15" hidden="false" customHeight="false" outlineLevel="0" collapsed="false">
      <c r="B327" s="34"/>
      <c r="C327" s="32"/>
      <c r="D327" s="32"/>
      <c r="E327" s="33"/>
      <c r="F327" s="35" t="str">
        <f aca="false">IF(C327="","",IFERROR(INDEX(Kategorier!$B$6:$B$40,MATCH(C327,Kategorier!$C$6:$C$40,0)),"?"))</f>
        <v/>
      </c>
    </row>
    <row r="328" customFormat="false" ht="15" hidden="false" customHeight="false" outlineLevel="0" collapsed="false">
      <c r="B328" s="34"/>
      <c r="C328" s="32"/>
      <c r="D328" s="32"/>
      <c r="E328" s="33"/>
      <c r="F328" s="35" t="str">
        <f aca="false">IF(C328="","",IFERROR(INDEX(Kategorier!$B$6:$B$40,MATCH(C328,Kategorier!$C$6:$C$40,0)),"?"))</f>
        <v/>
      </c>
    </row>
    <row r="329" customFormat="false" ht="15" hidden="false" customHeight="false" outlineLevel="0" collapsed="false">
      <c r="B329" s="34"/>
      <c r="C329" s="32"/>
      <c r="D329" s="32"/>
      <c r="E329" s="33"/>
      <c r="F329" s="35" t="str">
        <f aca="false">IF(C329="","",IFERROR(INDEX(Kategorier!$B$6:$B$40,MATCH(C329,Kategorier!$C$6:$C$40,0)),"?"))</f>
        <v/>
      </c>
    </row>
    <row r="330" customFormat="false" ht="15" hidden="false" customHeight="false" outlineLevel="0" collapsed="false">
      <c r="B330" s="34"/>
      <c r="C330" s="32"/>
      <c r="D330" s="32"/>
      <c r="E330" s="33"/>
      <c r="F330" s="35" t="str">
        <f aca="false">IF(C330="","",IFERROR(INDEX(Kategorier!$B$6:$B$40,MATCH(C330,Kategorier!$C$6:$C$40,0)),"?"))</f>
        <v/>
      </c>
    </row>
    <row r="331" customFormat="false" ht="15" hidden="false" customHeight="false" outlineLevel="0" collapsed="false">
      <c r="B331" s="34"/>
      <c r="C331" s="32"/>
      <c r="D331" s="32"/>
      <c r="E331" s="33"/>
      <c r="F331" s="35" t="str">
        <f aca="false">IF(C331="","",IFERROR(INDEX(Kategorier!$B$6:$B$40,MATCH(C331,Kategorier!$C$6:$C$40,0)),"?"))</f>
        <v/>
      </c>
    </row>
    <row r="332" customFormat="false" ht="15" hidden="false" customHeight="false" outlineLevel="0" collapsed="false">
      <c r="B332" s="34"/>
      <c r="C332" s="32"/>
      <c r="D332" s="32"/>
      <c r="E332" s="33"/>
      <c r="F332" s="35" t="str">
        <f aca="false">IF(C332="","",IFERROR(INDEX(Kategorier!$B$6:$B$40,MATCH(C332,Kategorier!$C$6:$C$40,0)),"?"))</f>
        <v/>
      </c>
    </row>
    <row r="333" customFormat="false" ht="15" hidden="false" customHeight="false" outlineLevel="0" collapsed="false">
      <c r="B333" s="34"/>
      <c r="C333" s="32"/>
      <c r="D333" s="32"/>
      <c r="E333" s="33"/>
      <c r="F333" s="35" t="str">
        <f aca="false">IF(C333="","",IFERROR(INDEX(Kategorier!$B$6:$B$40,MATCH(C333,Kategorier!$C$6:$C$40,0)),"?"))</f>
        <v/>
      </c>
    </row>
    <row r="334" customFormat="false" ht="15" hidden="false" customHeight="false" outlineLevel="0" collapsed="false">
      <c r="B334" s="34"/>
      <c r="C334" s="32"/>
      <c r="D334" s="32"/>
      <c r="E334" s="33"/>
      <c r="F334" s="35" t="str">
        <f aca="false">IF(C334="","",IFERROR(INDEX(Kategorier!$B$6:$B$40,MATCH(C334,Kategorier!$C$6:$C$40,0)),"?"))</f>
        <v/>
      </c>
    </row>
    <row r="335" customFormat="false" ht="15" hidden="false" customHeight="false" outlineLevel="0" collapsed="false">
      <c r="B335" s="34"/>
      <c r="C335" s="32"/>
      <c r="D335" s="32"/>
      <c r="E335" s="33"/>
      <c r="F335" s="35" t="str">
        <f aca="false">IF(C335="","",IFERROR(INDEX(Kategorier!$B$6:$B$40,MATCH(C335,Kategorier!$C$6:$C$40,0)),"?"))</f>
        <v/>
      </c>
    </row>
    <row r="336" customFormat="false" ht="15" hidden="false" customHeight="false" outlineLevel="0" collapsed="false">
      <c r="B336" s="34"/>
      <c r="C336" s="32"/>
      <c r="D336" s="32"/>
      <c r="E336" s="33"/>
      <c r="F336" s="35" t="str">
        <f aca="false">IF(C336="","",IFERROR(INDEX(Kategorier!$B$6:$B$40,MATCH(C336,Kategorier!$C$6:$C$40,0)),"?"))</f>
        <v/>
      </c>
    </row>
    <row r="337" customFormat="false" ht="15" hidden="false" customHeight="false" outlineLevel="0" collapsed="false">
      <c r="B337" s="34"/>
      <c r="C337" s="32"/>
      <c r="D337" s="32"/>
      <c r="E337" s="33"/>
      <c r="F337" s="35" t="str">
        <f aca="false">IF(C337="","",IFERROR(INDEX(Kategorier!$B$6:$B$40,MATCH(C337,Kategorier!$C$6:$C$40,0)),"?"))</f>
        <v/>
      </c>
    </row>
    <row r="338" customFormat="false" ht="15" hidden="false" customHeight="false" outlineLevel="0" collapsed="false">
      <c r="B338" s="34"/>
      <c r="C338" s="32"/>
      <c r="D338" s="32"/>
      <c r="E338" s="33"/>
      <c r="F338" s="35" t="str">
        <f aca="false">IF(C338="","",IFERROR(INDEX(Kategorier!$B$6:$B$40,MATCH(C338,Kategorier!$C$6:$C$40,0)),"?"))</f>
        <v/>
      </c>
    </row>
    <row r="339" customFormat="false" ht="15" hidden="false" customHeight="false" outlineLevel="0" collapsed="false">
      <c r="B339" s="34"/>
      <c r="C339" s="32"/>
      <c r="D339" s="32"/>
      <c r="E339" s="33"/>
      <c r="F339" s="35" t="str">
        <f aca="false">IF(C339="","",IFERROR(INDEX(Kategorier!$B$6:$B$40,MATCH(C339,Kategorier!$C$6:$C$40,0)),"?"))</f>
        <v/>
      </c>
    </row>
    <row r="340" customFormat="false" ht="15" hidden="false" customHeight="false" outlineLevel="0" collapsed="false">
      <c r="B340" s="34"/>
      <c r="C340" s="32"/>
      <c r="D340" s="32"/>
      <c r="E340" s="33"/>
      <c r="F340" s="35" t="str">
        <f aca="false">IF(C340="","",IFERROR(INDEX(Kategorier!$B$6:$B$40,MATCH(C340,Kategorier!$C$6:$C$40,0)),"?"))</f>
        <v/>
      </c>
    </row>
    <row r="341" customFormat="false" ht="15" hidden="false" customHeight="false" outlineLevel="0" collapsed="false">
      <c r="B341" s="34"/>
      <c r="C341" s="32"/>
      <c r="D341" s="32"/>
      <c r="E341" s="33"/>
      <c r="F341" s="35" t="str">
        <f aca="false">IF(C341="","",IFERROR(INDEX(Kategorier!$B$6:$B$40,MATCH(C341,Kategorier!$C$6:$C$40,0)),"?"))</f>
        <v/>
      </c>
    </row>
    <row r="342" customFormat="false" ht="15" hidden="false" customHeight="false" outlineLevel="0" collapsed="false">
      <c r="B342" s="34"/>
      <c r="C342" s="32"/>
      <c r="D342" s="32"/>
      <c r="E342" s="33"/>
      <c r="F342" s="35" t="str">
        <f aca="false">IF(C342="","",IFERROR(INDEX(Kategorier!$B$6:$B$40,MATCH(C342,Kategorier!$C$6:$C$40,0)),"?"))</f>
        <v/>
      </c>
    </row>
    <row r="343" customFormat="false" ht="15" hidden="false" customHeight="false" outlineLevel="0" collapsed="false">
      <c r="B343" s="34"/>
      <c r="C343" s="32"/>
      <c r="D343" s="32"/>
      <c r="E343" s="33"/>
      <c r="F343" s="35" t="str">
        <f aca="false">IF(C343="","",IFERROR(INDEX(Kategorier!$B$6:$B$40,MATCH(C343,Kategorier!$C$6:$C$40,0)),"?"))</f>
        <v/>
      </c>
    </row>
    <row r="344" customFormat="false" ht="15" hidden="false" customHeight="false" outlineLevel="0" collapsed="false">
      <c r="B344" s="34"/>
      <c r="C344" s="32"/>
      <c r="D344" s="32"/>
      <c r="E344" s="33"/>
      <c r="F344" s="35" t="str">
        <f aca="false">IF(C344="","",IFERROR(INDEX(Kategorier!$B$6:$B$40,MATCH(C344,Kategorier!$C$6:$C$40,0)),"?"))</f>
        <v/>
      </c>
    </row>
    <row r="345" customFormat="false" ht="15" hidden="false" customHeight="false" outlineLevel="0" collapsed="false">
      <c r="B345" s="34"/>
      <c r="C345" s="32"/>
      <c r="D345" s="32"/>
      <c r="E345" s="33"/>
      <c r="F345" s="35" t="str">
        <f aca="false">IF(C345="","",IFERROR(INDEX(Kategorier!$B$6:$B$40,MATCH(C345,Kategorier!$C$6:$C$40,0)),"?"))</f>
        <v/>
      </c>
    </row>
    <row r="346" customFormat="false" ht="15" hidden="false" customHeight="false" outlineLevel="0" collapsed="false">
      <c r="B346" s="34"/>
      <c r="C346" s="32"/>
      <c r="D346" s="32"/>
      <c r="E346" s="33"/>
      <c r="F346" s="35" t="str">
        <f aca="false">IF(C346="","",IFERROR(INDEX(Kategorier!$B$6:$B$40,MATCH(C346,Kategorier!$C$6:$C$40,0)),"?"))</f>
        <v/>
      </c>
    </row>
    <row r="347" customFormat="false" ht="15" hidden="false" customHeight="false" outlineLevel="0" collapsed="false">
      <c r="B347" s="34"/>
      <c r="C347" s="32"/>
      <c r="D347" s="32"/>
      <c r="E347" s="33"/>
      <c r="F347" s="35" t="str">
        <f aca="false">IF(C347="","",IFERROR(INDEX(Kategorier!$B$6:$B$40,MATCH(C347,Kategorier!$C$6:$C$40,0)),"?"))</f>
        <v/>
      </c>
    </row>
    <row r="348" customFormat="false" ht="15" hidden="false" customHeight="false" outlineLevel="0" collapsed="false">
      <c r="B348" s="34"/>
      <c r="C348" s="32"/>
      <c r="D348" s="32"/>
      <c r="E348" s="33"/>
      <c r="F348" s="35" t="str">
        <f aca="false">IF(C348="","",IFERROR(INDEX(Kategorier!$B$6:$B$40,MATCH(C348,Kategorier!$C$6:$C$40,0)),"?"))</f>
        <v/>
      </c>
    </row>
    <row r="349" customFormat="false" ht="15" hidden="false" customHeight="false" outlineLevel="0" collapsed="false">
      <c r="B349" s="34"/>
      <c r="C349" s="32"/>
      <c r="D349" s="32"/>
      <c r="E349" s="33"/>
      <c r="F349" s="35" t="str">
        <f aca="false">IF(C349="","",IFERROR(INDEX(Kategorier!$B$6:$B$40,MATCH(C349,Kategorier!$C$6:$C$40,0)),"?"))</f>
        <v/>
      </c>
    </row>
    <row r="350" customFormat="false" ht="15" hidden="false" customHeight="false" outlineLevel="0" collapsed="false">
      <c r="B350" s="34"/>
      <c r="C350" s="32"/>
      <c r="D350" s="32"/>
      <c r="E350" s="33"/>
      <c r="F350" s="35" t="str">
        <f aca="false">IF(C350="","",IFERROR(INDEX(Kategorier!$B$6:$B$40,MATCH(C350,Kategorier!$C$6:$C$40,0)),"?"))</f>
        <v/>
      </c>
    </row>
    <row r="351" customFormat="false" ht="15" hidden="false" customHeight="false" outlineLevel="0" collapsed="false">
      <c r="B351" s="34"/>
      <c r="C351" s="32"/>
      <c r="D351" s="32"/>
      <c r="E351" s="33"/>
      <c r="F351" s="35" t="str">
        <f aca="false">IF(C351="","",IFERROR(INDEX(Kategorier!$B$6:$B$40,MATCH(C351,Kategorier!$C$6:$C$40,0)),"?"))</f>
        <v/>
      </c>
    </row>
    <row r="352" customFormat="false" ht="15" hidden="false" customHeight="false" outlineLevel="0" collapsed="false">
      <c r="B352" s="34"/>
      <c r="C352" s="32"/>
      <c r="D352" s="32"/>
      <c r="E352" s="33"/>
      <c r="F352" s="35" t="str">
        <f aca="false">IF(C352="","",IFERROR(INDEX(Kategorier!$B$6:$B$40,MATCH(C352,Kategorier!$C$6:$C$40,0)),"?"))</f>
        <v/>
      </c>
    </row>
    <row r="353" customFormat="false" ht="15" hidden="false" customHeight="false" outlineLevel="0" collapsed="false">
      <c r="B353" s="34"/>
      <c r="C353" s="32"/>
      <c r="D353" s="32"/>
      <c r="E353" s="33"/>
      <c r="F353" s="35" t="str">
        <f aca="false">IF(C353="","",IFERROR(INDEX(Kategorier!$B$6:$B$40,MATCH(C353,Kategorier!$C$6:$C$40,0)),"?"))</f>
        <v/>
      </c>
    </row>
    <row r="354" customFormat="false" ht="15" hidden="false" customHeight="false" outlineLevel="0" collapsed="false">
      <c r="B354" s="34"/>
      <c r="C354" s="32"/>
      <c r="D354" s="32"/>
      <c r="E354" s="33"/>
      <c r="F354" s="35" t="str">
        <f aca="false">IF(C354="","",IFERROR(INDEX(Kategorier!$B$6:$B$40,MATCH(C354,Kategorier!$C$6:$C$40,0)),"?"))</f>
        <v/>
      </c>
    </row>
    <row r="355" customFormat="false" ht="15" hidden="false" customHeight="false" outlineLevel="0" collapsed="false">
      <c r="B355" s="34"/>
      <c r="C355" s="32"/>
      <c r="D355" s="32"/>
      <c r="E355" s="33"/>
      <c r="F355" s="35" t="str">
        <f aca="false">IF(C355="","",IFERROR(INDEX(Kategorier!$B$6:$B$40,MATCH(C355,Kategorier!$C$6:$C$40,0)),"?"))</f>
        <v/>
      </c>
    </row>
    <row r="356" customFormat="false" ht="15" hidden="false" customHeight="false" outlineLevel="0" collapsed="false">
      <c r="B356" s="34"/>
      <c r="C356" s="32"/>
      <c r="D356" s="32"/>
      <c r="E356" s="33"/>
      <c r="F356" s="35" t="str">
        <f aca="false">IF(C356="","",IFERROR(INDEX(Kategorier!$B$6:$B$40,MATCH(C356,Kategorier!$C$6:$C$40,0)),"?"))</f>
        <v/>
      </c>
    </row>
    <row r="357" customFormat="false" ht="15" hidden="false" customHeight="false" outlineLevel="0" collapsed="false">
      <c r="B357" s="34"/>
      <c r="C357" s="32"/>
      <c r="D357" s="32"/>
      <c r="E357" s="33"/>
      <c r="F357" s="35" t="str">
        <f aca="false">IF(C357="","",IFERROR(INDEX(Kategorier!$B$6:$B$40,MATCH(C357,Kategorier!$C$6:$C$40,0)),"?"))</f>
        <v/>
      </c>
    </row>
    <row r="358" customFormat="false" ht="15" hidden="false" customHeight="false" outlineLevel="0" collapsed="false">
      <c r="B358" s="34"/>
      <c r="C358" s="32"/>
      <c r="D358" s="32"/>
      <c r="E358" s="33"/>
      <c r="F358" s="35" t="str">
        <f aca="false">IF(C358="","",IFERROR(INDEX(Kategorier!$B$6:$B$40,MATCH(C358,Kategorier!$C$6:$C$40,0)),"?"))</f>
        <v/>
      </c>
    </row>
    <row r="359" customFormat="false" ht="15" hidden="false" customHeight="false" outlineLevel="0" collapsed="false">
      <c r="B359" s="34"/>
      <c r="C359" s="32"/>
      <c r="D359" s="32"/>
      <c r="E359" s="33"/>
      <c r="F359" s="35" t="str">
        <f aca="false">IF(C359="","",IFERROR(INDEX(Kategorier!$B$6:$B$40,MATCH(C359,Kategorier!$C$6:$C$40,0)),"?"))</f>
        <v/>
      </c>
    </row>
    <row r="360" customFormat="false" ht="15" hidden="false" customHeight="false" outlineLevel="0" collapsed="false">
      <c r="B360" s="34"/>
      <c r="C360" s="32"/>
      <c r="D360" s="32"/>
      <c r="E360" s="33"/>
      <c r="F360" s="35" t="str">
        <f aca="false">IF(C360="","",IFERROR(INDEX(Kategorier!$B$6:$B$40,MATCH(C360,Kategorier!$C$6:$C$40,0)),"?"))</f>
        <v/>
      </c>
    </row>
    <row r="361" customFormat="false" ht="15" hidden="false" customHeight="false" outlineLevel="0" collapsed="false">
      <c r="B361" s="34"/>
      <c r="C361" s="32"/>
      <c r="D361" s="32"/>
      <c r="E361" s="33"/>
      <c r="F361" s="35" t="str">
        <f aca="false">IF(C361="","",IFERROR(INDEX(Kategorier!$B$6:$B$40,MATCH(C361,Kategorier!$C$6:$C$40,0)),"?"))</f>
        <v/>
      </c>
    </row>
    <row r="362" customFormat="false" ht="15" hidden="false" customHeight="false" outlineLevel="0" collapsed="false">
      <c r="B362" s="34"/>
      <c r="C362" s="32"/>
      <c r="D362" s="32"/>
      <c r="E362" s="33"/>
      <c r="F362" s="35" t="str">
        <f aca="false">IF(C362="","",IFERROR(INDEX(Kategorier!$B$6:$B$40,MATCH(C362,Kategorier!$C$6:$C$40,0)),"?"))</f>
        <v/>
      </c>
    </row>
    <row r="363" customFormat="false" ht="15" hidden="false" customHeight="false" outlineLevel="0" collapsed="false">
      <c r="B363" s="34"/>
      <c r="C363" s="32"/>
      <c r="D363" s="32"/>
      <c r="E363" s="33"/>
      <c r="F363" s="35" t="str">
        <f aca="false">IF(C363="","",IFERROR(INDEX(Kategorier!$B$6:$B$40,MATCH(C363,Kategorier!$C$6:$C$40,0)),"?"))</f>
        <v/>
      </c>
    </row>
    <row r="364" customFormat="false" ht="15" hidden="false" customHeight="false" outlineLevel="0" collapsed="false">
      <c r="B364" s="34"/>
      <c r="C364" s="32"/>
      <c r="D364" s="32"/>
      <c r="E364" s="33"/>
      <c r="F364" s="35" t="str">
        <f aca="false">IF(C364="","",IFERROR(INDEX(Kategorier!$B$6:$B$40,MATCH(C364,Kategorier!$C$6:$C$40,0)),"?"))</f>
        <v/>
      </c>
    </row>
    <row r="365" customFormat="false" ht="15" hidden="false" customHeight="false" outlineLevel="0" collapsed="false">
      <c r="B365" s="34"/>
      <c r="C365" s="32"/>
      <c r="D365" s="32"/>
      <c r="E365" s="33"/>
      <c r="F365" s="35" t="str">
        <f aca="false">IF(C365="","",IFERROR(INDEX(Kategorier!$B$6:$B$40,MATCH(C365,Kategorier!$C$6:$C$40,0)),"?"))</f>
        <v/>
      </c>
    </row>
    <row r="366" customFormat="false" ht="15" hidden="false" customHeight="false" outlineLevel="0" collapsed="false">
      <c r="B366" s="34"/>
      <c r="C366" s="32"/>
      <c r="D366" s="32"/>
      <c r="E366" s="33"/>
      <c r="F366" s="35" t="str">
        <f aca="false">IF(C366="","",IFERROR(INDEX(Kategorier!$B$6:$B$40,MATCH(C366,Kategorier!$C$6:$C$40,0)),"?"))</f>
        <v/>
      </c>
    </row>
    <row r="367" customFormat="false" ht="15" hidden="false" customHeight="false" outlineLevel="0" collapsed="false">
      <c r="B367" s="34"/>
      <c r="C367" s="32"/>
      <c r="D367" s="32"/>
      <c r="E367" s="33"/>
      <c r="F367" s="35" t="str">
        <f aca="false">IF(C367="","",IFERROR(INDEX(Kategorier!$B$6:$B$40,MATCH(C367,Kategorier!$C$6:$C$40,0)),"?"))</f>
        <v/>
      </c>
    </row>
    <row r="368" customFormat="false" ht="15" hidden="false" customHeight="false" outlineLevel="0" collapsed="false">
      <c r="B368" s="34"/>
      <c r="C368" s="32"/>
      <c r="D368" s="32"/>
      <c r="E368" s="33"/>
      <c r="F368" s="35" t="str">
        <f aca="false">IF(C368="","",IFERROR(INDEX(Kategorier!$B$6:$B$40,MATCH(C368,Kategorier!$C$6:$C$40,0)),"?"))</f>
        <v/>
      </c>
    </row>
    <row r="369" customFormat="false" ht="15" hidden="false" customHeight="false" outlineLevel="0" collapsed="false">
      <c r="B369" s="34"/>
      <c r="C369" s="32"/>
      <c r="D369" s="32"/>
      <c r="E369" s="33"/>
      <c r="F369" s="35" t="str">
        <f aca="false">IF(C369="","",IFERROR(INDEX(Kategorier!$B$6:$B$40,MATCH(C369,Kategorier!$C$6:$C$40,0)),"?"))</f>
        <v/>
      </c>
    </row>
    <row r="370" customFormat="false" ht="15" hidden="false" customHeight="false" outlineLevel="0" collapsed="false">
      <c r="B370" s="34"/>
      <c r="C370" s="32"/>
      <c r="D370" s="32"/>
      <c r="E370" s="33"/>
      <c r="F370" s="35" t="str">
        <f aca="false">IF(C370="","",IFERROR(INDEX(Kategorier!$B$6:$B$40,MATCH(C370,Kategorier!$C$6:$C$40,0)),"?"))</f>
        <v/>
      </c>
    </row>
    <row r="371" customFormat="false" ht="15" hidden="false" customHeight="false" outlineLevel="0" collapsed="false">
      <c r="B371" s="34"/>
      <c r="C371" s="32"/>
      <c r="D371" s="32"/>
      <c r="E371" s="33"/>
      <c r="F371" s="35" t="str">
        <f aca="false">IF(C371="","",IFERROR(INDEX(Kategorier!$B$6:$B$40,MATCH(C371,Kategorier!$C$6:$C$40,0)),"?"))</f>
        <v/>
      </c>
    </row>
    <row r="372" customFormat="false" ht="15" hidden="false" customHeight="false" outlineLevel="0" collapsed="false">
      <c r="B372" s="34"/>
      <c r="C372" s="32"/>
      <c r="D372" s="32"/>
      <c r="E372" s="33"/>
      <c r="F372" s="35" t="str">
        <f aca="false">IF(C372="","",IFERROR(INDEX(Kategorier!$B$6:$B$40,MATCH(C372,Kategorier!$C$6:$C$40,0)),"?"))</f>
        <v/>
      </c>
    </row>
    <row r="373" customFormat="false" ht="15" hidden="false" customHeight="false" outlineLevel="0" collapsed="false">
      <c r="B373" s="34"/>
      <c r="C373" s="32"/>
      <c r="D373" s="32"/>
      <c r="E373" s="33"/>
      <c r="F373" s="35" t="str">
        <f aca="false">IF(C373="","",IFERROR(INDEX(Kategorier!$B$6:$B$40,MATCH(C373,Kategorier!$C$6:$C$40,0)),"?"))</f>
        <v/>
      </c>
    </row>
    <row r="374" customFormat="false" ht="15" hidden="false" customHeight="false" outlineLevel="0" collapsed="false">
      <c r="B374" s="34"/>
      <c r="C374" s="32"/>
      <c r="D374" s="32"/>
      <c r="E374" s="33"/>
      <c r="F374" s="35" t="str">
        <f aca="false">IF(C374="","",IFERROR(INDEX(Kategorier!$B$6:$B$40,MATCH(C374,Kategorier!$C$6:$C$40,0)),"?"))</f>
        <v/>
      </c>
    </row>
    <row r="375" customFormat="false" ht="15" hidden="false" customHeight="false" outlineLevel="0" collapsed="false">
      <c r="B375" s="34"/>
      <c r="C375" s="32"/>
      <c r="D375" s="32"/>
      <c r="E375" s="33"/>
      <c r="F375" s="35" t="str">
        <f aca="false">IF(C375="","",IFERROR(INDEX(Kategorier!$B$6:$B$40,MATCH(C375,Kategorier!$C$6:$C$40,0)),"?"))</f>
        <v/>
      </c>
    </row>
    <row r="376" customFormat="false" ht="15" hidden="false" customHeight="false" outlineLevel="0" collapsed="false">
      <c r="B376" s="34"/>
      <c r="C376" s="32"/>
      <c r="D376" s="32"/>
      <c r="E376" s="33"/>
      <c r="F376" s="35" t="str">
        <f aca="false">IF(C376="","",IFERROR(INDEX(Kategorier!$B$6:$B$40,MATCH(C376,Kategorier!$C$6:$C$40,0)),"?"))</f>
        <v/>
      </c>
    </row>
    <row r="377" customFormat="false" ht="15" hidden="false" customHeight="false" outlineLevel="0" collapsed="false">
      <c r="B377" s="34"/>
      <c r="C377" s="32"/>
      <c r="D377" s="32"/>
      <c r="E377" s="33"/>
      <c r="F377" s="35" t="str">
        <f aca="false">IF(C377="","",IFERROR(INDEX(Kategorier!$B$6:$B$40,MATCH(C377,Kategorier!$C$6:$C$40,0)),"?"))</f>
        <v/>
      </c>
    </row>
    <row r="378" customFormat="false" ht="15" hidden="false" customHeight="false" outlineLevel="0" collapsed="false">
      <c r="B378" s="34"/>
      <c r="C378" s="32"/>
      <c r="D378" s="32"/>
      <c r="E378" s="33"/>
      <c r="F378" s="35" t="str">
        <f aca="false">IF(C378="","",IFERROR(INDEX(Kategorier!$B$6:$B$40,MATCH(C378,Kategorier!$C$6:$C$40,0)),"?"))</f>
        <v/>
      </c>
    </row>
    <row r="379" customFormat="false" ht="15" hidden="false" customHeight="false" outlineLevel="0" collapsed="false">
      <c r="B379" s="34"/>
      <c r="C379" s="32"/>
      <c r="D379" s="32"/>
      <c r="E379" s="33"/>
      <c r="F379" s="35" t="str">
        <f aca="false">IF(C379="","",IFERROR(INDEX(Kategorier!$B$6:$B$40,MATCH(C379,Kategorier!$C$6:$C$40,0)),"?"))</f>
        <v/>
      </c>
    </row>
    <row r="380" customFormat="false" ht="15" hidden="false" customHeight="false" outlineLevel="0" collapsed="false">
      <c r="B380" s="34"/>
      <c r="C380" s="32"/>
      <c r="D380" s="32"/>
      <c r="E380" s="33"/>
      <c r="F380" s="35" t="str">
        <f aca="false">IF(C380="","",IFERROR(INDEX(Kategorier!$B$6:$B$40,MATCH(C380,Kategorier!$C$6:$C$40,0)),"?"))</f>
        <v/>
      </c>
    </row>
    <row r="381" customFormat="false" ht="15" hidden="false" customHeight="false" outlineLevel="0" collapsed="false">
      <c r="B381" s="34"/>
      <c r="C381" s="32"/>
      <c r="D381" s="32"/>
      <c r="E381" s="33"/>
      <c r="F381" s="35" t="str">
        <f aca="false">IF(C381="","",IFERROR(INDEX(Kategorier!$B$6:$B$40,MATCH(C381,Kategorier!$C$6:$C$40,0)),"?"))</f>
        <v/>
      </c>
    </row>
    <row r="382" customFormat="false" ht="15" hidden="false" customHeight="false" outlineLevel="0" collapsed="false">
      <c r="B382" s="34"/>
      <c r="C382" s="32"/>
      <c r="D382" s="32"/>
      <c r="E382" s="33"/>
      <c r="F382" s="35" t="str">
        <f aca="false">IF(C382="","",IFERROR(INDEX(Kategorier!$B$6:$B$40,MATCH(C382,Kategorier!$C$6:$C$40,0)),"?"))</f>
        <v/>
      </c>
    </row>
    <row r="383" customFormat="false" ht="15" hidden="false" customHeight="false" outlineLevel="0" collapsed="false">
      <c r="B383" s="34"/>
      <c r="C383" s="32"/>
      <c r="D383" s="32"/>
      <c r="E383" s="33"/>
      <c r="F383" s="35" t="str">
        <f aca="false">IF(C383="","",IFERROR(INDEX(Kategorier!$B$6:$B$40,MATCH(C383,Kategorier!$C$6:$C$40,0)),"?"))</f>
        <v/>
      </c>
    </row>
    <row r="384" customFormat="false" ht="15" hidden="false" customHeight="false" outlineLevel="0" collapsed="false">
      <c r="B384" s="34"/>
      <c r="C384" s="32"/>
      <c r="D384" s="32"/>
      <c r="E384" s="33"/>
      <c r="F384" s="35" t="str">
        <f aca="false">IF(C384="","",IFERROR(INDEX(Kategorier!$B$6:$B$40,MATCH(C384,Kategorier!$C$6:$C$40,0)),"?"))</f>
        <v/>
      </c>
    </row>
    <row r="385" customFormat="false" ht="15" hidden="false" customHeight="false" outlineLevel="0" collapsed="false">
      <c r="B385" s="34"/>
      <c r="C385" s="32"/>
      <c r="D385" s="32"/>
      <c r="E385" s="33"/>
      <c r="F385" s="35" t="str">
        <f aca="false">IF(C385="","",IFERROR(INDEX(Kategorier!$B$6:$B$40,MATCH(C385,Kategorier!$C$6:$C$40,0)),"?"))</f>
        <v/>
      </c>
    </row>
    <row r="386" customFormat="false" ht="15" hidden="false" customHeight="false" outlineLevel="0" collapsed="false">
      <c r="B386" s="34"/>
      <c r="C386" s="32"/>
      <c r="D386" s="32"/>
      <c r="E386" s="33"/>
      <c r="F386" s="35" t="str">
        <f aca="false">IF(C386="","",IFERROR(INDEX(Kategorier!$B$6:$B$40,MATCH(C386,Kategorier!$C$6:$C$40,0)),"?"))</f>
        <v/>
      </c>
    </row>
    <row r="387" customFormat="false" ht="15" hidden="false" customHeight="false" outlineLevel="0" collapsed="false">
      <c r="B387" s="34"/>
      <c r="C387" s="32"/>
      <c r="D387" s="32"/>
      <c r="E387" s="33"/>
      <c r="F387" s="35" t="str">
        <f aca="false">IF(C387="","",IFERROR(INDEX(Kategorier!$B$6:$B$40,MATCH(C387,Kategorier!$C$6:$C$40,0)),"?"))</f>
        <v/>
      </c>
    </row>
    <row r="388" customFormat="false" ht="15" hidden="false" customHeight="false" outlineLevel="0" collapsed="false">
      <c r="B388" s="34"/>
      <c r="C388" s="32"/>
      <c r="D388" s="32"/>
      <c r="E388" s="33"/>
      <c r="F388" s="35" t="str">
        <f aca="false">IF(C388="","",IFERROR(INDEX(Kategorier!$B$6:$B$40,MATCH(C388,Kategorier!$C$6:$C$40,0)),"?"))</f>
        <v/>
      </c>
    </row>
    <row r="389" customFormat="false" ht="15" hidden="false" customHeight="false" outlineLevel="0" collapsed="false">
      <c r="B389" s="34"/>
      <c r="C389" s="32"/>
      <c r="D389" s="32"/>
      <c r="E389" s="33"/>
      <c r="F389" s="35" t="str">
        <f aca="false">IF(C389="","",IFERROR(INDEX(Kategorier!$B$6:$B$40,MATCH(C389,Kategorier!$C$6:$C$40,0)),"?"))</f>
        <v/>
      </c>
    </row>
    <row r="390" customFormat="false" ht="15" hidden="false" customHeight="false" outlineLevel="0" collapsed="false">
      <c r="B390" s="34"/>
      <c r="C390" s="32"/>
      <c r="D390" s="32"/>
      <c r="E390" s="33"/>
      <c r="F390" s="35" t="str">
        <f aca="false">IF(C390="","",IFERROR(INDEX(Kategorier!$B$6:$B$40,MATCH(C390,Kategorier!$C$6:$C$40,0)),"?"))</f>
        <v/>
      </c>
    </row>
    <row r="391" customFormat="false" ht="15" hidden="false" customHeight="false" outlineLevel="0" collapsed="false">
      <c r="B391" s="34"/>
      <c r="C391" s="32"/>
      <c r="D391" s="32"/>
      <c r="E391" s="33"/>
      <c r="F391" s="35" t="str">
        <f aca="false">IF(C391="","",IFERROR(INDEX(Kategorier!$B$6:$B$40,MATCH(C391,Kategorier!$C$6:$C$40,0)),"?"))</f>
        <v/>
      </c>
    </row>
    <row r="392" customFormat="false" ht="15" hidden="false" customHeight="false" outlineLevel="0" collapsed="false">
      <c r="B392" s="34"/>
      <c r="C392" s="32"/>
      <c r="D392" s="32"/>
      <c r="E392" s="33"/>
      <c r="F392" s="35" t="str">
        <f aca="false">IF(C392="","",IFERROR(INDEX(Kategorier!$B$6:$B$40,MATCH(C392,Kategorier!$C$6:$C$40,0)),"?"))</f>
        <v/>
      </c>
    </row>
    <row r="393" customFormat="false" ht="15" hidden="false" customHeight="false" outlineLevel="0" collapsed="false">
      <c r="B393" s="34"/>
      <c r="C393" s="32"/>
      <c r="D393" s="32"/>
      <c r="E393" s="33"/>
      <c r="F393" s="35" t="str">
        <f aca="false">IF(C393="","",IFERROR(INDEX(Kategorier!$B$6:$B$40,MATCH(C393,Kategorier!$C$6:$C$40,0)),"?"))</f>
        <v/>
      </c>
    </row>
    <row r="394" customFormat="false" ht="15" hidden="false" customHeight="false" outlineLevel="0" collapsed="false">
      <c r="B394" s="34"/>
      <c r="C394" s="32"/>
      <c r="D394" s="32"/>
      <c r="E394" s="33"/>
      <c r="F394" s="35" t="str">
        <f aca="false">IF(C394="","",IFERROR(INDEX(Kategorier!$B$6:$B$40,MATCH(C394,Kategorier!$C$6:$C$40,0)),"?"))</f>
        <v/>
      </c>
    </row>
    <row r="395" customFormat="false" ht="15" hidden="false" customHeight="false" outlineLevel="0" collapsed="false">
      <c r="B395" s="34"/>
      <c r="C395" s="32"/>
      <c r="D395" s="32"/>
      <c r="E395" s="33"/>
      <c r="F395" s="35" t="str">
        <f aca="false">IF(C395="","",IFERROR(INDEX(Kategorier!$B$6:$B$40,MATCH(C395,Kategorier!$C$6:$C$40,0)),"?"))</f>
        <v/>
      </c>
    </row>
    <row r="396" customFormat="false" ht="15" hidden="false" customHeight="false" outlineLevel="0" collapsed="false">
      <c r="B396" s="34"/>
      <c r="C396" s="32"/>
      <c r="D396" s="32"/>
      <c r="E396" s="33"/>
      <c r="F396" s="35" t="str">
        <f aca="false">IF(C396="","",IFERROR(INDEX(Kategorier!$B$6:$B$40,MATCH(C396,Kategorier!$C$6:$C$40,0)),"?"))</f>
        <v/>
      </c>
    </row>
    <row r="397" customFormat="false" ht="15" hidden="false" customHeight="false" outlineLevel="0" collapsed="false">
      <c r="B397" s="34"/>
      <c r="C397" s="32"/>
      <c r="D397" s="32"/>
      <c r="E397" s="33"/>
      <c r="F397" s="35" t="str">
        <f aca="false">IF(C397="","",IFERROR(INDEX(Kategorier!$B$6:$B$40,MATCH(C397,Kategorier!$C$6:$C$40,0)),"?"))</f>
        <v/>
      </c>
    </row>
    <row r="398" customFormat="false" ht="15" hidden="false" customHeight="false" outlineLevel="0" collapsed="false">
      <c r="B398" s="34"/>
      <c r="C398" s="32"/>
      <c r="D398" s="32"/>
      <c r="E398" s="33"/>
      <c r="F398" s="35" t="str">
        <f aca="false">IF(C398="","",IFERROR(INDEX(Kategorier!$B$6:$B$40,MATCH(C398,Kategorier!$C$6:$C$40,0)),"?"))</f>
        <v/>
      </c>
    </row>
    <row r="399" customFormat="false" ht="15" hidden="false" customHeight="false" outlineLevel="0" collapsed="false">
      <c r="B399" s="34"/>
      <c r="C399" s="32"/>
      <c r="D399" s="32"/>
      <c r="E399" s="33"/>
      <c r="F399" s="35" t="str">
        <f aca="false">IF(C399="","",IFERROR(INDEX(Kategorier!$B$6:$B$40,MATCH(C399,Kategorier!$C$6:$C$40,0)),"?"))</f>
        <v/>
      </c>
    </row>
    <row r="400" customFormat="false" ht="15" hidden="false" customHeight="false" outlineLevel="0" collapsed="false">
      <c r="B400" s="34"/>
      <c r="C400" s="32"/>
      <c r="D400" s="32"/>
      <c r="E400" s="33"/>
      <c r="F400" s="35" t="str">
        <f aca="false">IF(C400="","",IFERROR(INDEX(Kategorier!$B$6:$B$40,MATCH(C400,Kategorier!$C$6:$C$40,0)),"?"))</f>
        <v/>
      </c>
    </row>
    <row r="401" customFormat="false" ht="15" hidden="false" customHeight="false" outlineLevel="0" collapsed="false">
      <c r="B401" s="34"/>
      <c r="C401" s="32"/>
      <c r="D401" s="32"/>
      <c r="E401" s="33"/>
      <c r="F401" s="35" t="str">
        <f aca="false">IF(C401="","",IFERROR(INDEX(Kategorier!$B$6:$B$40,MATCH(C401,Kategorier!$C$6:$C$40,0)),"?"))</f>
        <v/>
      </c>
    </row>
    <row r="402" customFormat="false" ht="15" hidden="false" customHeight="false" outlineLevel="0" collapsed="false">
      <c r="B402" s="34"/>
      <c r="C402" s="32"/>
      <c r="D402" s="32"/>
      <c r="E402" s="33"/>
      <c r="F402" s="35" t="str">
        <f aca="false">IF(C402="","",IFERROR(INDEX(Kategorier!$B$6:$B$40,MATCH(C402,Kategorier!$C$6:$C$40,0)),"?"))</f>
        <v/>
      </c>
    </row>
    <row r="403" customFormat="false" ht="15" hidden="false" customHeight="false" outlineLevel="0" collapsed="false">
      <c r="B403" s="34"/>
      <c r="C403" s="32"/>
      <c r="D403" s="32"/>
      <c r="E403" s="33"/>
      <c r="F403" s="35" t="str">
        <f aca="false">IF(C403="","",IFERROR(INDEX(Kategorier!$B$6:$B$40,MATCH(C403,Kategorier!$C$6:$C$40,0)),"?"))</f>
        <v/>
      </c>
    </row>
    <row r="404" customFormat="false" ht="15" hidden="false" customHeight="false" outlineLevel="0" collapsed="false">
      <c r="B404" s="34"/>
      <c r="C404" s="32"/>
      <c r="D404" s="32"/>
      <c r="E404" s="33"/>
      <c r="F404" s="35" t="str">
        <f aca="false">IF(C404="","",IFERROR(INDEX(Kategorier!$B$6:$B$40,MATCH(C404,Kategorier!$C$6:$C$40,0)),"?"))</f>
        <v/>
      </c>
    </row>
    <row r="405" customFormat="false" ht="15" hidden="false" customHeight="false" outlineLevel="0" collapsed="false">
      <c r="B405" s="34"/>
      <c r="C405" s="32"/>
      <c r="D405" s="32"/>
      <c r="E405" s="33"/>
      <c r="F405" s="35" t="str">
        <f aca="false">IF(C405="","",IFERROR(INDEX(Kategorier!$B$6:$B$40,MATCH(C405,Kategorier!$C$6:$C$40,0)),"?"))</f>
        <v/>
      </c>
    </row>
    <row r="406" customFormat="false" ht="15" hidden="false" customHeight="false" outlineLevel="0" collapsed="false">
      <c r="B406" s="34"/>
      <c r="C406" s="32"/>
      <c r="D406" s="32"/>
      <c r="E406" s="33"/>
      <c r="F406" s="35" t="str">
        <f aca="false">IF(C406="","",IFERROR(INDEX(Kategorier!$B$6:$B$40,MATCH(C406,Kategorier!$C$6:$C$40,0)),"?"))</f>
        <v/>
      </c>
    </row>
    <row r="407" customFormat="false" ht="15" hidden="false" customHeight="false" outlineLevel="0" collapsed="false">
      <c r="B407" s="34"/>
      <c r="C407" s="32"/>
      <c r="D407" s="32"/>
      <c r="E407" s="33"/>
      <c r="F407" s="35" t="str">
        <f aca="false">IF(C407="","",IFERROR(INDEX(Kategorier!$B$6:$B$40,MATCH(C407,Kategorier!$C$6:$C$40,0)),"?"))</f>
        <v/>
      </c>
    </row>
    <row r="408" customFormat="false" ht="15" hidden="false" customHeight="false" outlineLevel="0" collapsed="false">
      <c r="B408" s="34"/>
      <c r="C408" s="32"/>
      <c r="D408" s="32"/>
      <c r="E408" s="33"/>
      <c r="F408" s="35" t="str">
        <f aca="false">IF(C408="","",IFERROR(INDEX(Kategorier!$B$6:$B$40,MATCH(C408,Kategorier!$C$6:$C$40,0)),"?"))</f>
        <v/>
      </c>
    </row>
    <row r="409" customFormat="false" ht="15" hidden="false" customHeight="false" outlineLevel="0" collapsed="false">
      <c r="B409" s="34"/>
      <c r="C409" s="32"/>
      <c r="D409" s="32"/>
      <c r="E409" s="33"/>
      <c r="F409" s="35" t="str">
        <f aca="false">IF(C409="","",IFERROR(INDEX(Kategorier!$B$6:$B$40,MATCH(C409,Kategorier!$C$6:$C$40,0)),"?"))</f>
        <v/>
      </c>
    </row>
    <row r="410" customFormat="false" ht="15" hidden="false" customHeight="false" outlineLevel="0" collapsed="false">
      <c r="B410" s="34"/>
      <c r="C410" s="32"/>
      <c r="D410" s="32"/>
      <c r="E410" s="33"/>
      <c r="F410" s="35" t="str">
        <f aca="false">IF(C410="","",IFERROR(INDEX(Kategorier!$B$6:$B$40,MATCH(C410,Kategorier!$C$6:$C$40,0)),"?"))</f>
        <v/>
      </c>
    </row>
    <row r="411" customFormat="false" ht="15" hidden="false" customHeight="false" outlineLevel="0" collapsed="false">
      <c r="B411" s="34"/>
      <c r="C411" s="32"/>
      <c r="D411" s="32"/>
      <c r="E411" s="33"/>
      <c r="F411" s="35" t="str">
        <f aca="false">IF(C411="","",IFERROR(INDEX(Kategorier!$B$6:$B$40,MATCH(C411,Kategorier!$C$6:$C$40,0)),"?"))</f>
        <v/>
      </c>
    </row>
    <row r="412" customFormat="false" ht="15" hidden="false" customHeight="false" outlineLevel="0" collapsed="false">
      <c r="B412" s="34"/>
      <c r="C412" s="32"/>
      <c r="D412" s="32"/>
      <c r="E412" s="33"/>
      <c r="F412" s="35" t="str">
        <f aca="false">IF(C412="","",IFERROR(INDEX(Kategorier!$B$6:$B$40,MATCH(C412,Kategorier!$C$6:$C$40,0)),"?"))</f>
        <v/>
      </c>
    </row>
    <row r="413" customFormat="false" ht="15" hidden="false" customHeight="false" outlineLevel="0" collapsed="false">
      <c r="B413" s="34"/>
      <c r="C413" s="32"/>
      <c r="D413" s="32"/>
      <c r="E413" s="33"/>
      <c r="F413" s="35" t="str">
        <f aca="false">IF(C413="","",IFERROR(INDEX(Kategorier!$B$6:$B$40,MATCH(C413,Kategorier!$C$6:$C$40,0)),"?"))</f>
        <v/>
      </c>
    </row>
    <row r="414" customFormat="false" ht="15" hidden="false" customHeight="false" outlineLevel="0" collapsed="false">
      <c r="B414" s="34"/>
      <c r="C414" s="32"/>
      <c r="D414" s="32"/>
      <c r="E414" s="33"/>
      <c r="F414" s="35" t="str">
        <f aca="false">IF(C414="","",IFERROR(INDEX(Kategorier!$B$6:$B$40,MATCH(C414,Kategorier!$C$6:$C$40,0)),"?"))</f>
        <v/>
      </c>
    </row>
    <row r="415" customFormat="false" ht="15" hidden="false" customHeight="false" outlineLevel="0" collapsed="false">
      <c r="B415" s="34"/>
      <c r="C415" s="32"/>
      <c r="D415" s="32"/>
      <c r="E415" s="33"/>
      <c r="F415" s="35" t="str">
        <f aca="false">IF(C415="","",IFERROR(INDEX(Kategorier!$B$6:$B$40,MATCH(C415,Kategorier!$C$6:$C$40,0)),"?"))</f>
        <v/>
      </c>
    </row>
    <row r="416" customFormat="false" ht="15" hidden="false" customHeight="false" outlineLevel="0" collapsed="false">
      <c r="B416" s="34"/>
      <c r="C416" s="32"/>
      <c r="D416" s="32"/>
      <c r="E416" s="33"/>
      <c r="F416" s="35" t="str">
        <f aca="false">IF(C416="","",IFERROR(INDEX(Kategorier!$B$6:$B$40,MATCH(C416,Kategorier!$C$6:$C$40,0)),"?"))</f>
        <v/>
      </c>
    </row>
    <row r="417" customFormat="false" ht="15" hidden="false" customHeight="false" outlineLevel="0" collapsed="false">
      <c r="B417" s="34"/>
      <c r="C417" s="32"/>
      <c r="D417" s="32"/>
      <c r="E417" s="33"/>
      <c r="F417" s="35" t="str">
        <f aca="false">IF(C417="","",IFERROR(INDEX(Kategorier!$B$6:$B$40,MATCH(C417,Kategorier!$C$6:$C$40,0)),"?"))</f>
        <v/>
      </c>
    </row>
    <row r="418" customFormat="false" ht="15" hidden="false" customHeight="false" outlineLevel="0" collapsed="false">
      <c r="B418" s="34"/>
      <c r="C418" s="32"/>
      <c r="D418" s="32"/>
      <c r="E418" s="33"/>
      <c r="F418" s="35" t="str">
        <f aca="false">IF(C418="","",IFERROR(INDEX(Kategorier!$B$6:$B$40,MATCH(C418,Kategorier!$C$6:$C$40,0)),"?"))</f>
        <v/>
      </c>
    </row>
    <row r="419" customFormat="false" ht="15" hidden="false" customHeight="false" outlineLevel="0" collapsed="false">
      <c r="B419" s="34"/>
      <c r="C419" s="32"/>
      <c r="D419" s="32"/>
      <c r="E419" s="33"/>
      <c r="F419" s="35" t="str">
        <f aca="false">IF(C419="","",IFERROR(INDEX(Kategorier!$B$6:$B$40,MATCH(C419,Kategorier!$C$6:$C$40,0)),"?"))</f>
        <v/>
      </c>
    </row>
    <row r="420" customFormat="false" ht="15" hidden="false" customHeight="false" outlineLevel="0" collapsed="false">
      <c r="B420" s="34"/>
      <c r="C420" s="32"/>
      <c r="D420" s="32"/>
      <c r="E420" s="33"/>
      <c r="F420" s="35" t="str">
        <f aca="false">IF(C420="","",IFERROR(INDEX(Kategorier!$B$6:$B$40,MATCH(C420,Kategorier!$C$6:$C$40,0)),"?"))</f>
        <v/>
      </c>
    </row>
    <row r="421" customFormat="false" ht="15" hidden="false" customHeight="false" outlineLevel="0" collapsed="false">
      <c r="B421" s="34"/>
      <c r="C421" s="32"/>
      <c r="D421" s="32"/>
      <c r="E421" s="33"/>
      <c r="F421" s="35" t="str">
        <f aca="false">IF(C421="","",IFERROR(INDEX(Kategorier!$B$6:$B$40,MATCH(C421,Kategorier!$C$6:$C$40,0)),"?"))</f>
        <v/>
      </c>
    </row>
    <row r="422" customFormat="false" ht="15" hidden="false" customHeight="false" outlineLevel="0" collapsed="false">
      <c r="B422" s="34"/>
      <c r="C422" s="32"/>
      <c r="D422" s="32"/>
      <c r="E422" s="33"/>
      <c r="F422" s="35" t="str">
        <f aca="false">IF(C422="","",IFERROR(INDEX(Kategorier!$B$6:$B$40,MATCH(C422,Kategorier!$C$6:$C$40,0)),"?"))</f>
        <v/>
      </c>
    </row>
    <row r="423" customFormat="false" ht="15" hidden="false" customHeight="false" outlineLevel="0" collapsed="false">
      <c r="B423" s="34"/>
      <c r="C423" s="32"/>
      <c r="D423" s="32"/>
      <c r="E423" s="33"/>
      <c r="F423" s="35" t="str">
        <f aca="false">IF(C423="","",IFERROR(INDEX(Kategorier!$B$6:$B$40,MATCH(C423,Kategorier!$C$6:$C$40,0)),"?"))</f>
        <v/>
      </c>
    </row>
    <row r="424" customFormat="false" ht="15" hidden="false" customHeight="false" outlineLevel="0" collapsed="false">
      <c r="B424" s="34"/>
      <c r="C424" s="32"/>
      <c r="D424" s="32"/>
      <c r="E424" s="33"/>
      <c r="F424" s="35" t="str">
        <f aca="false">IF(C424="","",IFERROR(INDEX(Kategorier!$B$6:$B$40,MATCH(C424,Kategorier!$C$6:$C$40,0)),"?"))</f>
        <v/>
      </c>
    </row>
    <row r="425" customFormat="false" ht="15" hidden="false" customHeight="false" outlineLevel="0" collapsed="false">
      <c r="B425" s="34"/>
      <c r="C425" s="32"/>
      <c r="D425" s="32"/>
      <c r="E425" s="33"/>
      <c r="F425" s="35" t="str">
        <f aca="false">IF(C425="","",IFERROR(INDEX(Kategorier!$B$6:$B$40,MATCH(C425,Kategorier!$C$6:$C$40,0)),"?"))</f>
        <v/>
      </c>
    </row>
    <row r="426" customFormat="false" ht="15" hidden="false" customHeight="false" outlineLevel="0" collapsed="false">
      <c r="B426" s="34"/>
      <c r="C426" s="32"/>
      <c r="D426" s="32"/>
      <c r="E426" s="33"/>
      <c r="F426" s="35" t="str">
        <f aca="false">IF(C426="","",IFERROR(INDEX(Kategorier!$B$6:$B$40,MATCH(C426,Kategorier!$C$6:$C$40,0)),"?"))</f>
        <v/>
      </c>
    </row>
    <row r="427" customFormat="false" ht="15" hidden="false" customHeight="false" outlineLevel="0" collapsed="false">
      <c r="B427" s="34"/>
      <c r="C427" s="32"/>
      <c r="D427" s="32"/>
      <c r="E427" s="33"/>
      <c r="F427" s="35" t="str">
        <f aca="false">IF(C427="","",IFERROR(INDEX(Kategorier!$B$6:$B$40,MATCH(C427,Kategorier!$C$6:$C$40,0)),"?"))</f>
        <v/>
      </c>
    </row>
    <row r="428" customFormat="false" ht="15" hidden="false" customHeight="false" outlineLevel="0" collapsed="false">
      <c r="B428" s="34"/>
      <c r="C428" s="32"/>
      <c r="D428" s="32"/>
      <c r="E428" s="33"/>
      <c r="F428" s="35" t="str">
        <f aca="false">IF(C428="","",IFERROR(INDEX(Kategorier!$B$6:$B$40,MATCH(C428,Kategorier!$C$6:$C$40,0)),"?"))</f>
        <v/>
      </c>
    </row>
    <row r="429" customFormat="false" ht="15" hidden="false" customHeight="false" outlineLevel="0" collapsed="false">
      <c r="B429" s="34"/>
      <c r="C429" s="32"/>
      <c r="D429" s="32"/>
      <c r="E429" s="33"/>
      <c r="F429" s="35" t="str">
        <f aca="false">IF(C429="","",IFERROR(INDEX(Kategorier!$B$6:$B$40,MATCH(C429,Kategorier!$C$6:$C$40,0)),"?"))</f>
        <v/>
      </c>
    </row>
    <row r="430" customFormat="false" ht="15" hidden="false" customHeight="false" outlineLevel="0" collapsed="false">
      <c r="B430" s="34"/>
      <c r="C430" s="32"/>
      <c r="D430" s="32"/>
      <c r="E430" s="33"/>
      <c r="F430" s="35" t="str">
        <f aca="false">IF(C430="","",IFERROR(INDEX(Kategorier!$B$6:$B$40,MATCH(C430,Kategorier!$C$6:$C$40,0)),"?"))</f>
        <v/>
      </c>
    </row>
    <row r="431" customFormat="false" ht="15" hidden="false" customHeight="false" outlineLevel="0" collapsed="false">
      <c r="B431" s="34"/>
      <c r="C431" s="32"/>
      <c r="D431" s="32"/>
      <c r="E431" s="33"/>
      <c r="F431" s="35" t="str">
        <f aca="false">IF(C431="","",IFERROR(INDEX(Kategorier!$B$6:$B$40,MATCH(C431,Kategorier!$C$6:$C$40,0)),"?"))</f>
        <v/>
      </c>
    </row>
    <row r="432" customFormat="false" ht="15" hidden="false" customHeight="false" outlineLevel="0" collapsed="false">
      <c r="B432" s="34"/>
      <c r="C432" s="32"/>
      <c r="D432" s="32"/>
      <c r="E432" s="33"/>
      <c r="F432" s="35" t="str">
        <f aca="false">IF(C432="","",IFERROR(INDEX(Kategorier!$B$6:$B$40,MATCH(C432,Kategorier!$C$6:$C$40,0)),"?"))</f>
        <v/>
      </c>
    </row>
    <row r="433" customFormat="false" ht="15" hidden="false" customHeight="false" outlineLevel="0" collapsed="false">
      <c r="B433" s="34"/>
      <c r="C433" s="32"/>
      <c r="D433" s="32"/>
      <c r="E433" s="33"/>
      <c r="F433" s="35" t="str">
        <f aca="false">IF(C433="","",IFERROR(INDEX(Kategorier!$B$6:$B$40,MATCH(C433,Kategorier!$C$6:$C$40,0)),"?"))</f>
        <v/>
      </c>
    </row>
    <row r="434" customFormat="false" ht="15" hidden="false" customHeight="false" outlineLevel="0" collapsed="false">
      <c r="B434" s="34"/>
      <c r="C434" s="32"/>
      <c r="D434" s="32"/>
      <c r="E434" s="33"/>
      <c r="F434" s="35" t="str">
        <f aca="false">IF(C434="","",IFERROR(INDEX(Kategorier!$B$6:$B$40,MATCH(C434,Kategorier!$C$6:$C$40,0)),"?"))</f>
        <v/>
      </c>
    </row>
    <row r="435" customFormat="false" ht="15" hidden="false" customHeight="false" outlineLevel="0" collapsed="false">
      <c r="B435" s="34"/>
      <c r="C435" s="32"/>
      <c r="D435" s="32"/>
      <c r="E435" s="33"/>
      <c r="F435" s="35" t="str">
        <f aca="false">IF(C435="","",IFERROR(INDEX(Kategorier!$B$6:$B$40,MATCH(C435,Kategorier!$C$6:$C$40,0)),"?"))</f>
        <v/>
      </c>
    </row>
    <row r="436" customFormat="false" ht="15" hidden="false" customHeight="false" outlineLevel="0" collapsed="false">
      <c r="B436" s="34"/>
      <c r="C436" s="32"/>
      <c r="D436" s="32"/>
      <c r="E436" s="33"/>
      <c r="F436" s="35" t="str">
        <f aca="false">IF(C436="","",IFERROR(INDEX(Kategorier!$B$6:$B$40,MATCH(C436,Kategorier!$C$6:$C$40,0)),"?"))</f>
        <v/>
      </c>
    </row>
    <row r="437" customFormat="false" ht="15" hidden="false" customHeight="false" outlineLevel="0" collapsed="false">
      <c r="B437" s="34"/>
      <c r="C437" s="32"/>
      <c r="D437" s="32"/>
      <c r="E437" s="33"/>
      <c r="F437" s="35" t="str">
        <f aca="false">IF(C437="","",IFERROR(INDEX(Kategorier!$B$6:$B$40,MATCH(C437,Kategorier!$C$6:$C$40,0)),"?"))</f>
        <v/>
      </c>
    </row>
    <row r="438" customFormat="false" ht="15" hidden="false" customHeight="false" outlineLevel="0" collapsed="false">
      <c r="B438" s="34"/>
      <c r="C438" s="32"/>
      <c r="D438" s="32"/>
      <c r="E438" s="33"/>
      <c r="F438" s="35" t="str">
        <f aca="false">IF(C438="","",IFERROR(INDEX(Kategorier!$B$6:$B$40,MATCH(C438,Kategorier!$C$6:$C$40,0)),"?"))</f>
        <v/>
      </c>
    </row>
    <row r="439" customFormat="false" ht="15" hidden="false" customHeight="false" outlineLevel="0" collapsed="false">
      <c r="B439" s="34"/>
      <c r="C439" s="32"/>
      <c r="D439" s="32"/>
      <c r="E439" s="33"/>
      <c r="F439" s="35" t="str">
        <f aca="false">IF(C439="","",IFERROR(INDEX(Kategorier!$B$6:$B$40,MATCH(C439,Kategorier!$C$6:$C$40,0)),"?"))</f>
        <v/>
      </c>
    </row>
    <row r="440" customFormat="false" ht="15" hidden="false" customHeight="false" outlineLevel="0" collapsed="false">
      <c r="B440" s="34"/>
      <c r="C440" s="32"/>
      <c r="D440" s="32"/>
      <c r="E440" s="33"/>
      <c r="F440" s="35" t="str">
        <f aca="false">IF(C440="","",IFERROR(INDEX(Kategorier!$B$6:$B$40,MATCH(C440,Kategorier!$C$6:$C$40,0)),"?"))</f>
        <v/>
      </c>
    </row>
    <row r="441" customFormat="false" ht="15" hidden="false" customHeight="false" outlineLevel="0" collapsed="false">
      <c r="B441" s="34"/>
      <c r="C441" s="32"/>
      <c r="D441" s="32"/>
      <c r="E441" s="33"/>
      <c r="F441" s="35" t="str">
        <f aca="false">IF(C441="","",IFERROR(INDEX(Kategorier!$B$6:$B$40,MATCH(C441,Kategorier!$C$6:$C$40,0)),"?"))</f>
        <v/>
      </c>
    </row>
    <row r="442" customFormat="false" ht="15" hidden="false" customHeight="false" outlineLevel="0" collapsed="false">
      <c r="B442" s="34"/>
      <c r="C442" s="32"/>
      <c r="D442" s="32"/>
      <c r="E442" s="33"/>
      <c r="F442" s="35" t="str">
        <f aca="false">IF(C442="","",IFERROR(INDEX(Kategorier!$B$6:$B$40,MATCH(C442,Kategorier!$C$6:$C$40,0)),"?"))</f>
        <v/>
      </c>
    </row>
    <row r="443" customFormat="false" ht="15" hidden="false" customHeight="false" outlineLevel="0" collapsed="false">
      <c r="B443" s="34"/>
      <c r="C443" s="32"/>
      <c r="D443" s="32"/>
      <c r="E443" s="33"/>
      <c r="F443" s="35" t="str">
        <f aca="false">IF(C443="","",IFERROR(INDEX(Kategorier!$B$6:$B$40,MATCH(C443,Kategorier!$C$6:$C$40,0)),"?"))</f>
        <v/>
      </c>
    </row>
    <row r="444" customFormat="false" ht="15" hidden="false" customHeight="false" outlineLevel="0" collapsed="false">
      <c r="B444" s="34"/>
      <c r="C444" s="32"/>
      <c r="D444" s="32"/>
      <c r="E444" s="33"/>
      <c r="F444" s="35" t="str">
        <f aca="false">IF(C444="","",IFERROR(INDEX(Kategorier!$B$6:$B$40,MATCH(C444,Kategorier!$C$6:$C$40,0)),"?"))</f>
        <v/>
      </c>
    </row>
    <row r="445" customFormat="false" ht="15" hidden="false" customHeight="false" outlineLevel="0" collapsed="false">
      <c r="B445" s="34"/>
      <c r="C445" s="32"/>
      <c r="D445" s="32"/>
      <c r="E445" s="33"/>
      <c r="F445" s="35" t="str">
        <f aca="false">IF(C445="","",IFERROR(INDEX(Kategorier!$B$6:$B$40,MATCH(C445,Kategorier!$C$6:$C$40,0)),"?"))</f>
        <v/>
      </c>
    </row>
    <row r="446" customFormat="false" ht="15" hidden="false" customHeight="false" outlineLevel="0" collapsed="false">
      <c r="B446" s="34"/>
      <c r="C446" s="32"/>
      <c r="D446" s="32"/>
      <c r="E446" s="33"/>
      <c r="F446" s="35" t="str">
        <f aca="false">IF(C446="","",IFERROR(INDEX(Kategorier!$B$6:$B$40,MATCH(C446,Kategorier!$C$6:$C$40,0)),"?"))</f>
        <v/>
      </c>
    </row>
    <row r="447" customFormat="false" ht="15" hidden="false" customHeight="false" outlineLevel="0" collapsed="false">
      <c r="B447" s="34"/>
      <c r="C447" s="32"/>
      <c r="D447" s="32"/>
      <c r="E447" s="33"/>
      <c r="F447" s="35" t="str">
        <f aca="false">IF(C447="","",IFERROR(INDEX(Kategorier!$B$6:$B$40,MATCH(C447,Kategorier!$C$6:$C$40,0)),"?"))</f>
        <v/>
      </c>
    </row>
    <row r="448" customFormat="false" ht="15" hidden="false" customHeight="false" outlineLevel="0" collapsed="false">
      <c r="B448" s="34"/>
      <c r="C448" s="32"/>
      <c r="D448" s="32"/>
      <c r="E448" s="33"/>
      <c r="F448" s="35" t="str">
        <f aca="false">IF(C448="","",IFERROR(INDEX(Kategorier!$B$6:$B$40,MATCH(C448,Kategorier!$C$6:$C$40,0)),"?"))</f>
        <v/>
      </c>
    </row>
    <row r="449" customFormat="false" ht="15" hidden="false" customHeight="false" outlineLevel="0" collapsed="false">
      <c r="B449" s="34"/>
      <c r="C449" s="32"/>
      <c r="D449" s="32"/>
      <c r="E449" s="33"/>
      <c r="F449" s="35" t="str">
        <f aca="false">IF(C449="","",IFERROR(INDEX(Kategorier!$B$6:$B$40,MATCH(C449,Kategorier!$C$6:$C$40,0)),"?"))</f>
        <v/>
      </c>
    </row>
    <row r="450" customFormat="false" ht="15" hidden="false" customHeight="false" outlineLevel="0" collapsed="false">
      <c r="B450" s="34"/>
      <c r="C450" s="32"/>
      <c r="D450" s="32"/>
      <c r="E450" s="33"/>
      <c r="F450" s="35" t="str">
        <f aca="false">IF(C450="","",IFERROR(INDEX(Kategorier!$B$6:$B$40,MATCH(C450,Kategorier!$C$6:$C$40,0)),"?"))</f>
        <v/>
      </c>
    </row>
    <row r="451" customFormat="false" ht="15" hidden="false" customHeight="false" outlineLevel="0" collapsed="false">
      <c r="B451" s="34"/>
      <c r="C451" s="32"/>
      <c r="D451" s="32"/>
      <c r="E451" s="33"/>
      <c r="F451" s="35" t="str">
        <f aca="false">IF(C451="","",IFERROR(INDEX(Kategorier!$B$6:$B$40,MATCH(C451,Kategorier!$C$6:$C$40,0)),"?"))</f>
        <v/>
      </c>
    </row>
    <row r="452" customFormat="false" ht="15" hidden="false" customHeight="false" outlineLevel="0" collapsed="false">
      <c r="B452" s="34"/>
      <c r="C452" s="32"/>
      <c r="D452" s="32"/>
      <c r="E452" s="33"/>
      <c r="F452" s="35" t="str">
        <f aca="false">IF(C452="","",IFERROR(INDEX(Kategorier!$B$6:$B$40,MATCH(C452,Kategorier!$C$6:$C$40,0)),"?"))</f>
        <v/>
      </c>
    </row>
    <row r="453" customFormat="false" ht="15" hidden="false" customHeight="false" outlineLevel="0" collapsed="false">
      <c r="B453" s="34"/>
      <c r="C453" s="32"/>
      <c r="D453" s="32"/>
      <c r="E453" s="33"/>
      <c r="F453" s="35" t="str">
        <f aca="false">IF(C453="","",IFERROR(INDEX(Kategorier!$B$6:$B$40,MATCH(C453,Kategorier!$C$6:$C$40,0)),"?"))</f>
        <v/>
      </c>
    </row>
    <row r="454" customFormat="false" ht="15" hidden="false" customHeight="false" outlineLevel="0" collapsed="false">
      <c r="B454" s="34"/>
      <c r="C454" s="32"/>
      <c r="D454" s="32"/>
      <c r="E454" s="33"/>
      <c r="F454" s="35" t="str">
        <f aca="false">IF(C454="","",IFERROR(INDEX(Kategorier!$B$6:$B$40,MATCH(C454,Kategorier!$C$6:$C$40,0)),"?"))</f>
        <v/>
      </c>
    </row>
    <row r="455" customFormat="false" ht="15" hidden="false" customHeight="false" outlineLevel="0" collapsed="false">
      <c r="B455" s="34"/>
      <c r="C455" s="32"/>
      <c r="D455" s="32"/>
      <c r="E455" s="33"/>
      <c r="F455" s="35" t="str">
        <f aca="false">IF(C455="","",IFERROR(INDEX(Kategorier!$B$6:$B$40,MATCH(C455,Kategorier!$C$6:$C$40,0)),"?"))</f>
        <v/>
      </c>
    </row>
    <row r="456" customFormat="false" ht="15" hidden="false" customHeight="false" outlineLevel="0" collapsed="false">
      <c r="B456" s="34"/>
      <c r="C456" s="32"/>
      <c r="D456" s="32"/>
      <c r="E456" s="33"/>
      <c r="F456" s="35" t="str">
        <f aca="false">IF(C456="","",IFERROR(INDEX(Kategorier!$B$6:$B$40,MATCH(C456,Kategorier!$C$6:$C$40,0)),"?"))</f>
        <v/>
      </c>
    </row>
    <row r="457" customFormat="false" ht="15" hidden="false" customHeight="false" outlineLevel="0" collapsed="false">
      <c r="B457" s="34"/>
      <c r="C457" s="32"/>
      <c r="D457" s="32"/>
      <c r="E457" s="33"/>
      <c r="F457" s="35" t="str">
        <f aca="false">IF(C457="","",IFERROR(INDEX(Kategorier!$B$6:$B$40,MATCH(C457,Kategorier!$C$6:$C$40,0)),"?"))</f>
        <v/>
      </c>
    </row>
    <row r="458" customFormat="false" ht="15" hidden="false" customHeight="false" outlineLevel="0" collapsed="false">
      <c r="B458" s="34"/>
      <c r="C458" s="32"/>
      <c r="D458" s="32"/>
      <c r="E458" s="33"/>
      <c r="F458" s="35" t="str">
        <f aca="false">IF(C458="","",IFERROR(INDEX(Kategorier!$B$6:$B$40,MATCH(C458,Kategorier!$C$6:$C$40,0)),"?"))</f>
        <v/>
      </c>
    </row>
    <row r="459" customFormat="false" ht="15" hidden="false" customHeight="false" outlineLevel="0" collapsed="false">
      <c r="B459" s="34"/>
      <c r="C459" s="32"/>
      <c r="D459" s="32"/>
      <c r="E459" s="33"/>
      <c r="F459" s="35" t="str">
        <f aca="false">IF(C459="","",IFERROR(INDEX(Kategorier!$B$6:$B$40,MATCH(C459,Kategorier!$C$6:$C$40,0)),"?"))</f>
        <v/>
      </c>
    </row>
    <row r="460" customFormat="false" ht="15" hidden="false" customHeight="false" outlineLevel="0" collapsed="false">
      <c r="B460" s="34"/>
      <c r="C460" s="32"/>
      <c r="D460" s="32"/>
      <c r="E460" s="33"/>
      <c r="F460" s="35" t="str">
        <f aca="false">IF(C460="","",IFERROR(INDEX(Kategorier!$B$6:$B$40,MATCH(C460,Kategorier!$C$6:$C$40,0)),"?"))</f>
        <v/>
      </c>
    </row>
    <row r="461" customFormat="false" ht="15" hidden="false" customHeight="false" outlineLevel="0" collapsed="false">
      <c r="B461" s="34"/>
      <c r="C461" s="32"/>
      <c r="D461" s="32"/>
      <c r="E461" s="33"/>
      <c r="F461" s="35" t="str">
        <f aca="false">IF(C461="","",IFERROR(INDEX(Kategorier!$B$6:$B$40,MATCH(C461,Kategorier!$C$6:$C$40,0)),"?"))</f>
        <v/>
      </c>
    </row>
    <row r="462" customFormat="false" ht="15" hidden="false" customHeight="false" outlineLevel="0" collapsed="false">
      <c r="B462" s="34"/>
      <c r="C462" s="32"/>
      <c r="D462" s="32"/>
      <c r="E462" s="33"/>
      <c r="F462" s="35" t="str">
        <f aca="false">IF(C462="","",IFERROR(INDEX(Kategorier!$B$6:$B$40,MATCH(C462,Kategorier!$C$6:$C$40,0)),"?"))</f>
        <v/>
      </c>
    </row>
    <row r="463" customFormat="false" ht="15" hidden="false" customHeight="false" outlineLevel="0" collapsed="false">
      <c r="B463" s="34"/>
      <c r="C463" s="32"/>
      <c r="D463" s="32"/>
      <c r="E463" s="33"/>
      <c r="F463" s="35" t="str">
        <f aca="false">IF(C463="","",IFERROR(INDEX(Kategorier!$B$6:$B$40,MATCH(C463,Kategorier!$C$6:$C$40,0)),"?"))</f>
        <v/>
      </c>
    </row>
    <row r="464" customFormat="false" ht="15" hidden="false" customHeight="false" outlineLevel="0" collapsed="false">
      <c r="B464" s="34"/>
      <c r="C464" s="32"/>
      <c r="D464" s="32"/>
      <c r="E464" s="33"/>
      <c r="F464" s="35" t="str">
        <f aca="false">IF(C464="","",IFERROR(INDEX(Kategorier!$B$6:$B$40,MATCH(C464,Kategorier!$C$6:$C$40,0)),"?"))</f>
        <v/>
      </c>
    </row>
    <row r="465" customFormat="false" ht="15" hidden="false" customHeight="false" outlineLevel="0" collapsed="false">
      <c r="B465" s="34"/>
      <c r="C465" s="32"/>
      <c r="D465" s="32"/>
      <c r="E465" s="33"/>
      <c r="F465" s="35" t="str">
        <f aca="false">IF(C465="","",IFERROR(INDEX(Kategorier!$B$6:$B$40,MATCH(C465,Kategorier!$C$6:$C$40,0)),"?"))</f>
        <v/>
      </c>
    </row>
    <row r="466" customFormat="false" ht="15" hidden="false" customHeight="false" outlineLevel="0" collapsed="false">
      <c r="B466" s="34"/>
      <c r="C466" s="32"/>
      <c r="D466" s="32"/>
      <c r="E466" s="33"/>
      <c r="F466" s="35" t="str">
        <f aca="false">IF(C466="","",IFERROR(INDEX(Kategorier!$B$6:$B$40,MATCH(C466,Kategorier!$C$6:$C$40,0)),"?"))</f>
        <v/>
      </c>
    </row>
    <row r="467" customFormat="false" ht="15" hidden="false" customHeight="false" outlineLevel="0" collapsed="false">
      <c r="B467" s="34"/>
      <c r="C467" s="32"/>
      <c r="D467" s="32"/>
      <c r="E467" s="33"/>
      <c r="F467" s="35" t="str">
        <f aca="false">IF(C467="","",IFERROR(INDEX(Kategorier!$B$6:$B$40,MATCH(C467,Kategorier!$C$6:$C$40,0)),"?"))</f>
        <v/>
      </c>
    </row>
    <row r="468" customFormat="false" ht="15" hidden="false" customHeight="false" outlineLevel="0" collapsed="false">
      <c r="B468" s="34"/>
      <c r="C468" s="32"/>
      <c r="D468" s="32"/>
      <c r="E468" s="33"/>
      <c r="F468" s="35" t="str">
        <f aca="false">IF(C468="","",IFERROR(INDEX(Kategorier!$B$6:$B$40,MATCH(C468,Kategorier!$C$6:$C$40,0)),"?"))</f>
        <v/>
      </c>
    </row>
    <row r="469" customFormat="false" ht="15" hidden="false" customHeight="false" outlineLevel="0" collapsed="false">
      <c r="B469" s="34"/>
      <c r="C469" s="32"/>
      <c r="D469" s="32"/>
      <c r="E469" s="33"/>
      <c r="F469" s="35" t="str">
        <f aca="false">IF(C469="","",IFERROR(INDEX(Kategorier!$B$6:$B$40,MATCH(C469,Kategorier!$C$6:$C$40,0)),"?"))</f>
        <v/>
      </c>
    </row>
    <row r="470" customFormat="false" ht="15" hidden="false" customHeight="false" outlineLevel="0" collapsed="false">
      <c r="B470" s="34"/>
      <c r="C470" s="32"/>
      <c r="D470" s="32"/>
      <c r="E470" s="33"/>
      <c r="F470" s="35" t="str">
        <f aca="false">IF(C470="","",IFERROR(INDEX(Kategorier!$B$6:$B$40,MATCH(C470,Kategorier!$C$6:$C$40,0)),"?"))</f>
        <v/>
      </c>
    </row>
    <row r="471" customFormat="false" ht="15" hidden="false" customHeight="false" outlineLevel="0" collapsed="false">
      <c r="B471" s="34"/>
      <c r="C471" s="32"/>
      <c r="D471" s="32"/>
      <c r="E471" s="33"/>
      <c r="F471" s="35" t="str">
        <f aca="false">IF(C471="","",IFERROR(INDEX(Kategorier!$B$6:$B$40,MATCH(C471,Kategorier!$C$6:$C$40,0)),"?"))</f>
        <v/>
      </c>
    </row>
    <row r="472" customFormat="false" ht="15" hidden="false" customHeight="false" outlineLevel="0" collapsed="false">
      <c r="B472" s="34"/>
      <c r="C472" s="32"/>
      <c r="D472" s="32"/>
      <c r="E472" s="33"/>
      <c r="F472" s="35" t="str">
        <f aca="false">IF(C472="","",IFERROR(INDEX(Kategorier!$B$6:$B$40,MATCH(C472,Kategorier!$C$6:$C$40,0)),"?"))</f>
        <v/>
      </c>
    </row>
    <row r="473" customFormat="false" ht="15" hidden="false" customHeight="false" outlineLevel="0" collapsed="false">
      <c r="B473" s="34"/>
      <c r="C473" s="32"/>
      <c r="D473" s="32"/>
      <c r="E473" s="33"/>
      <c r="F473" s="35" t="str">
        <f aca="false">IF(C473="","",IFERROR(INDEX(Kategorier!$B$6:$B$40,MATCH(C473,Kategorier!$C$6:$C$40,0)),"?"))</f>
        <v/>
      </c>
    </row>
    <row r="474" customFormat="false" ht="15" hidden="false" customHeight="false" outlineLevel="0" collapsed="false">
      <c r="B474" s="34"/>
      <c r="C474" s="32"/>
      <c r="D474" s="32"/>
      <c r="E474" s="33"/>
      <c r="F474" s="35" t="str">
        <f aca="false">IF(C474="","",IFERROR(INDEX(Kategorier!$B$6:$B$40,MATCH(C474,Kategorier!$C$6:$C$40,0)),"?"))</f>
        <v/>
      </c>
    </row>
    <row r="475" customFormat="false" ht="15" hidden="false" customHeight="false" outlineLevel="0" collapsed="false">
      <c r="B475" s="34"/>
      <c r="C475" s="32"/>
      <c r="D475" s="32"/>
      <c r="E475" s="33"/>
      <c r="F475" s="35" t="str">
        <f aca="false">IF(C475="","",IFERROR(INDEX(Kategorier!$B$6:$B$40,MATCH(C475,Kategorier!$C$6:$C$40,0)),"?"))</f>
        <v/>
      </c>
    </row>
    <row r="476" customFormat="false" ht="15" hidden="false" customHeight="false" outlineLevel="0" collapsed="false">
      <c r="B476" s="34"/>
      <c r="C476" s="32"/>
      <c r="D476" s="32"/>
      <c r="E476" s="33"/>
      <c r="F476" s="35" t="str">
        <f aca="false">IF(C476="","",IFERROR(INDEX(Kategorier!$B$6:$B$40,MATCH(C476,Kategorier!$C$6:$C$40,0)),"?"))</f>
        <v/>
      </c>
    </row>
    <row r="477" customFormat="false" ht="15" hidden="false" customHeight="false" outlineLevel="0" collapsed="false">
      <c r="B477" s="34"/>
      <c r="C477" s="32"/>
      <c r="D477" s="32"/>
      <c r="E477" s="33"/>
      <c r="F477" s="35" t="str">
        <f aca="false">IF(C477="","",IFERROR(INDEX(Kategorier!$B$6:$B$40,MATCH(C477,Kategorier!$C$6:$C$40,0)),"?"))</f>
        <v/>
      </c>
    </row>
    <row r="478" customFormat="false" ht="15" hidden="false" customHeight="false" outlineLevel="0" collapsed="false">
      <c r="B478" s="34"/>
      <c r="C478" s="32"/>
      <c r="D478" s="32"/>
      <c r="E478" s="33"/>
      <c r="F478" s="35" t="str">
        <f aca="false">IF(C478="","",IFERROR(INDEX(Kategorier!$B$6:$B$40,MATCH(C478,Kategorier!$C$6:$C$40,0)),"?"))</f>
        <v/>
      </c>
    </row>
    <row r="479" customFormat="false" ht="15" hidden="false" customHeight="false" outlineLevel="0" collapsed="false">
      <c r="B479" s="34"/>
      <c r="C479" s="32"/>
      <c r="D479" s="32"/>
      <c r="E479" s="33"/>
      <c r="F479" s="35" t="str">
        <f aca="false">IF(C479="","",IFERROR(INDEX(Kategorier!$B$6:$B$40,MATCH(C479,Kategorier!$C$6:$C$40,0)),"?"))</f>
        <v/>
      </c>
    </row>
    <row r="480" customFormat="false" ht="15" hidden="false" customHeight="false" outlineLevel="0" collapsed="false">
      <c r="B480" s="34"/>
      <c r="C480" s="32"/>
      <c r="D480" s="32"/>
      <c r="E480" s="33"/>
      <c r="F480" s="35" t="str">
        <f aca="false">IF(C480="","",IFERROR(INDEX(Kategorier!$B$6:$B$40,MATCH(C480,Kategorier!$C$6:$C$40,0)),"?"))</f>
        <v/>
      </c>
    </row>
    <row r="481" customFormat="false" ht="15" hidden="false" customHeight="false" outlineLevel="0" collapsed="false">
      <c r="B481" s="34"/>
      <c r="C481" s="32"/>
      <c r="D481" s="32"/>
      <c r="E481" s="33"/>
      <c r="F481" s="35" t="str">
        <f aca="false">IF(C481="","",IFERROR(INDEX(Kategorier!$B$6:$B$40,MATCH(C481,Kategorier!$C$6:$C$40,0)),"?"))</f>
        <v/>
      </c>
    </row>
    <row r="482" customFormat="false" ht="15" hidden="false" customHeight="false" outlineLevel="0" collapsed="false">
      <c r="B482" s="34"/>
      <c r="C482" s="32"/>
      <c r="D482" s="32"/>
      <c r="E482" s="33"/>
      <c r="F482" s="35" t="str">
        <f aca="false">IF(C482="","",IFERROR(INDEX(Kategorier!$B$6:$B$40,MATCH(C482,Kategorier!$C$6:$C$40,0)),"?"))</f>
        <v/>
      </c>
    </row>
    <row r="483" customFormat="false" ht="15" hidden="false" customHeight="false" outlineLevel="0" collapsed="false">
      <c r="B483" s="34"/>
      <c r="C483" s="32"/>
      <c r="D483" s="32"/>
      <c r="E483" s="33"/>
      <c r="F483" s="35" t="str">
        <f aca="false">IF(C483="","",IFERROR(INDEX(Kategorier!$B$6:$B$40,MATCH(C483,Kategorier!$C$6:$C$40,0)),"?"))</f>
        <v/>
      </c>
    </row>
    <row r="484" customFormat="false" ht="15" hidden="false" customHeight="false" outlineLevel="0" collapsed="false">
      <c r="B484" s="34"/>
      <c r="C484" s="32"/>
      <c r="D484" s="32"/>
      <c r="E484" s="33"/>
      <c r="F484" s="35" t="str">
        <f aca="false">IF(C484="","",IFERROR(INDEX(Kategorier!$B$6:$B$40,MATCH(C484,Kategorier!$C$6:$C$40,0)),"?"))</f>
        <v/>
      </c>
    </row>
    <row r="485" customFormat="false" ht="15" hidden="false" customHeight="false" outlineLevel="0" collapsed="false">
      <c r="B485" s="34"/>
      <c r="C485" s="32"/>
      <c r="D485" s="32"/>
      <c r="E485" s="33"/>
      <c r="F485" s="35" t="str">
        <f aca="false">IF(C485="","",IFERROR(INDEX(Kategorier!$B$6:$B$40,MATCH(C485,Kategorier!$C$6:$C$40,0)),"?"))</f>
        <v/>
      </c>
    </row>
    <row r="486" customFormat="false" ht="15" hidden="false" customHeight="false" outlineLevel="0" collapsed="false">
      <c r="B486" s="34"/>
      <c r="C486" s="32"/>
      <c r="D486" s="32"/>
      <c r="E486" s="33"/>
      <c r="F486" s="35" t="str">
        <f aca="false">IF(C486="","",IFERROR(INDEX(Kategorier!$B$6:$B$40,MATCH(C486,Kategorier!$C$6:$C$40,0)),"?"))</f>
        <v/>
      </c>
    </row>
    <row r="487" customFormat="false" ht="15" hidden="false" customHeight="false" outlineLevel="0" collapsed="false">
      <c r="B487" s="34"/>
      <c r="C487" s="32"/>
      <c r="D487" s="32"/>
      <c r="E487" s="33"/>
      <c r="F487" s="35" t="str">
        <f aca="false">IF(C487="","",IFERROR(INDEX(Kategorier!$B$6:$B$40,MATCH(C487,Kategorier!$C$6:$C$40,0)),"?"))</f>
        <v/>
      </c>
    </row>
    <row r="488" customFormat="false" ht="15" hidden="false" customHeight="false" outlineLevel="0" collapsed="false">
      <c r="B488" s="34"/>
      <c r="C488" s="32"/>
      <c r="D488" s="32"/>
      <c r="E488" s="33"/>
      <c r="F488" s="35" t="str">
        <f aca="false">IF(C488="","",IFERROR(INDEX(Kategorier!$B$6:$B$40,MATCH(C488,Kategorier!$C$6:$C$40,0)),"?"))</f>
        <v/>
      </c>
    </row>
    <row r="489" customFormat="false" ht="15" hidden="false" customHeight="false" outlineLevel="0" collapsed="false">
      <c r="B489" s="34"/>
      <c r="C489" s="32"/>
      <c r="D489" s="32"/>
      <c r="E489" s="33"/>
      <c r="F489" s="35" t="str">
        <f aca="false">IF(C489="","",IFERROR(INDEX(Kategorier!$B$6:$B$40,MATCH(C489,Kategorier!$C$6:$C$40,0)),"?"))</f>
        <v/>
      </c>
    </row>
    <row r="490" customFormat="false" ht="15" hidden="false" customHeight="false" outlineLevel="0" collapsed="false">
      <c r="B490" s="34"/>
      <c r="C490" s="32"/>
      <c r="D490" s="32"/>
      <c r="E490" s="33"/>
      <c r="F490" s="35" t="str">
        <f aca="false">IF(C490="","",IFERROR(INDEX(Kategorier!$B$6:$B$40,MATCH(C490,Kategorier!$C$6:$C$40,0)),"?"))</f>
        <v/>
      </c>
    </row>
    <row r="491" customFormat="false" ht="15" hidden="false" customHeight="false" outlineLevel="0" collapsed="false">
      <c r="B491" s="34"/>
      <c r="C491" s="32"/>
      <c r="D491" s="32"/>
      <c r="E491" s="33"/>
      <c r="F491" s="35" t="str">
        <f aca="false">IF(C491="","",IFERROR(INDEX(Kategorier!$B$6:$B$40,MATCH(C491,Kategorier!$C$6:$C$40,0)),"?"))</f>
        <v/>
      </c>
    </row>
    <row r="492" customFormat="false" ht="15" hidden="false" customHeight="false" outlineLevel="0" collapsed="false">
      <c r="B492" s="34"/>
      <c r="C492" s="32"/>
      <c r="D492" s="32"/>
      <c r="E492" s="33"/>
      <c r="F492" s="35" t="str">
        <f aca="false">IF(C492="","",IFERROR(INDEX(Kategorier!$B$6:$B$40,MATCH(C492,Kategorier!$C$6:$C$40,0)),"?"))</f>
        <v/>
      </c>
    </row>
    <row r="493" customFormat="false" ht="15" hidden="false" customHeight="false" outlineLevel="0" collapsed="false">
      <c r="B493" s="34"/>
      <c r="C493" s="32"/>
      <c r="D493" s="32"/>
      <c r="E493" s="33"/>
      <c r="F493" s="35" t="str">
        <f aca="false">IF(C493="","",IFERROR(INDEX(Kategorier!$B$6:$B$40,MATCH(C493,Kategorier!$C$6:$C$40,0)),"?"))</f>
        <v/>
      </c>
    </row>
    <row r="494" customFormat="false" ht="15" hidden="false" customHeight="false" outlineLevel="0" collapsed="false">
      <c r="B494" s="34"/>
      <c r="C494" s="32"/>
      <c r="D494" s="32"/>
      <c r="E494" s="33"/>
      <c r="F494" s="35" t="str">
        <f aca="false">IF(C494="","",IFERROR(INDEX(Kategorier!$B$6:$B$40,MATCH(C494,Kategorier!$C$6:$C$40,0)),"?"))</f>
        <v/>
      </c>
    </row>
    <row r="495" customFormat="false" ht="15" hidden="false" customHeight="false" outlineLevel="0" collapsed="false">
      <c r="B495" s="34"/>
      <c r="C495" s="32"/>
      <c r="D495" s="32"/>
      <c r="E495" s="33"/>
      <c r="F495" s="35" t="str">
        <f aca="false">IF(C495="","",IFERROR(INDEX(Kategorier!$B$6:$B$40,MATCH(C495,Kategorier!$C$6:$C$40,0)),"?"))</f>
        <v/>
      </c>
    </row>
    <row r="496" customFormat="false" ht="15" hidden="false" customHeight="false" outlineLevel="0" collapsed="false">
      <c r="B496" s="34"/>
      <c r="C496" s="32"/>
      <c r="D496" s="32"/>
      <c r="E496" s="33"/>
      <c r="F496" s="35" t="str">
        <f aca="false">IF(C496="","",IFERROR(INDEX(Kategorier!$B$6:$B$40,MATCH(C496,Kategorier!$C$6:$C$40,0)),"?"))</f>
        <v/>
      </c>
    </row>
    <row r="497" customFormat="false" ht="15" hidden="false" customHeight="false" outlineLevel="0" collapsed="false">
      <c r="B497" s="34"/>
      <c r="C497" s="32"/>
      <c r="D497" s="32"/>
      <c r="E497" s="33"/>
      <c r="F497" s="35" t="str">
        <f aca="false">IF(C497="","",IFERROR(INDEX(Kategorier!$B$6:$B$40,MATCH(C497,Kategorier!$C$6:$C$40,0)),"?"))</f>
        <v/>
      </c>
    </row>
    <row r="498" customFormat="false" ht="15" hidden="false" customHeight="false" outlineLevel="0" collapsed="false">
      <c r="B498" s="34"/>
      <c r="C498" s="32"/>
      <c r="D498" s="32"/>
      <c r="E498" s="33"/>
      <c r="F498" s="35" t="str">
        <f aca="false">IF(C498="","",IFERROR(INDEX(Kategorier!$B$6:$B$40,MATCH(C498,Kategorier!$C$6:$C$40,0)),"?"))</f>
        <v/>
      </c>
    </row>
    <row r="499" customFormat="false" ht="15" hidden="false" customHeight="false" outlineLevel="0" collapsed="false">
      <c r="B499" s="34"/>
      <c r="C499" s="32"/>
      <c r="D499" s="32"/>
      <c r="E499" s="33"/>
      <c r="F499" s="35" t="str">
        <f aca="false">IF(C499="","",IFERROR(INDEX(Kategorier!$B$6:$B$40,MATCH(C499,Kategorier!$C$6:$C$40,0)),"?"))</f>
        <v/>
      </c>
    </row>
    <row r="500" customFormat="false" ht="15" hidden="false" customHeight="false" outlineLevel="0" collapsed="false">
      <c r="B500" s="34"/>
      <c r="C500" s="32"/>
      <c r="D500" s="32"/>
      <c r="E500" s="33"/>
      <c r="F500" s="35" t="str">
        <f aca="false">IF(C500="","",IFERROR(INDEX(Kategorier!$B$6:$B$40,MATCH(C500,Kategorier!$C$6:$C$40,0)),"?"))</f>
        <v/>
      </c>
    </row>
    <row r="501" customFormat="false" ht="15" hidden="false" customHeight="false" outlineLevel="0" collapsed="false">
      <c r="B501" s="34"/>
      <c r="C501" s="32"/>
      <c r="D501" s="32"/>
      <c r="E501" s="33"/>
      <c r="F501" s="35" t="str">
        <f aca="false">IF(C501="","",IFERROR(INDEX(Kategorier!$B$6:$B$40,MATCH(C501,Kategorier!$C$6:$C$40,0)),"?"))</f>
        <v/>
      </c>
    </row>
    <row r="502" customFormat="false" ht="15" hidden="false" customHeight="false" outlineLevel="0" collapsed="false">
      <c r="B502" s="34"/>
      <c r="C502" s="32"/>
      <c r="D502" s="32"/>
      <c r="E502" s="33"/>
      <c r="F502" s="35" t="str">
        <f aca="false">IF(C502="","",IFERROR(INDEX(Kategorier!$B$6:$B$40,MATCH(C502,Kategorier!$C$6:$C$40,0)),"?"))</f>
        <v/>
      </c>
    </row>
    <row r="503" customFormat="false" ht="15" hidden="false" customHeight="false" outlineLevel="0" collapsed="false">
      <c r="B503" s="34"/>
      <c r="C503" s="32"/>
      <c r="D503" s="32"/>
      <c r="E503" s="33"/>
      <c r="F503" s="35" t="str">
        <f aca="false">IF(C503="","",IFERROR(INDEX(Kategorier!$B$6:$B$40,MATCH(C503,Kategorier!$C$6:$C$40,0)),"?"))</f>
        <v/>
      </c>
    </row>
    <row r="504" customFormat="false" ht="15" hidden="false" customHeight="false" outlineLevel="0" collapsed="false">
      <c r="B504" s="34"/>
      <c r="C504" s="32"/>
      <c r="D504" s="32"/>
      <c r="E504" s="33"/>
      <c r="F504" s="35" t="str">
        <f aca="false">IF(C504="","",IFERROR(INDEX(Kategorier!$B$6:$B$40,MATCH(C504,Kategorier!$C$6:$C$40,0)),"?"))</f>
        <v/>
      </c>
    </row>
    <row r="505" customFormat="false" ht="15" hidden="false" customHeight="false" outlineLevel="0" collapsed="false">
      <c r="B505" s="34"/>
      <c r="C505" s="32"/>
      <c r="D505" s="32"/>
      <c r="E505" s="33"/>
      <c r="F505" s="35" t="str">
        <f aca="false">IF(C505="","",IFERROR(INDEX(Kategorier!$B$6:$B$40,MATCH(C505,Kategorier!$C$6:$C$40,0)),"?"))</f>
        <v/>
      </c>
    </row>
  </sheetData>
  <dataValidations count="1">
    <dataValidation allowBlank="true" errorStyle="stop" operator="between" showDropDown="false" showErrorMessage="false" showInputMessage="false" sqref="C6:C505" type="list">
      <formula1>Kategorier!$C$6:$C$40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2026-10-26T20:03:58Z</dcterms:created>
  <dc:creator>openpyxl</dc:creator>
  <dc:description/>
  <dc:language>en-US</dc:language>
  <cp:lastModifiedBy/>
  <dcterms:modified xsi:type="dcterms:W3CDTF">2026-10-26T20:04:09Z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